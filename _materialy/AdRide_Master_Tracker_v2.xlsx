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z\Downloads\"/>
    </mc:Choice>
  </mc:AlternateContent>
  <xr:revisionPtr revIDLastSave="0" documentId="13_ncr:1_{FE4D84C9-C0DB-4DCE-8C31-FC57EFCC412A}" xr6:coauthVersionLast="47" xr6:coauthVersionMax="47" xr10:uidLastSave="{00000000-0000-0000-0000-000000000000}"/>
  <bookViews>
    <workbookView xWindow="28680" yWindow="-120" windowWidth="29040" windowHeight="15720" firstSheet="2" activeTab="3" xr2:uid="{00000000-000D-0000-FFFF-FFFF00000000}"/>
  </bookViews>
  <sheets>
    <sheet name="📋 Opis Projektu" sheetId="1" r:id="rId1"/>
    <sheet name="📊 Dashboard" sheetId="2" r:id="rId2"/>
    <sheet name="📘 Instrukcja" sheetId="3" r:id="rId3"/>
    <sheet name="FAZA 0" sheetId="4" r:id="rId4"/>
    <sheet name="FAZA 1" sheetId="5" r:id="rId5"/>
    <sheet name="FAZA 2" sheetId="6" r:id="rId6"/>
    <sheet name="FAZA 3" sheetId="7" r:id="rId7"/>
    <sheet name="FAZA 4" sheetId="8" r:id="rId8"/>
    <sheet name="FAZA 5" sheetId="9" r:id="rId9"/>
    <sheet name="FAZA 6" sheetId="10" r:id="rId10"/>
    <sheet name="📱 GPS App &amp; Panel" sheetId="11" r:id="rId11"/>
    <sheet name="🤖 Pomoc AI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H11" i="2"/>
  <c r="H10" i="2"/>
  <c r="H9" i="2"/>
  <c r="H8" i="2"/>
  <c r="H7" i="2"/>
  <c r="H6" i="2"/>
</calcChain>
</file>

<file path=xl/sharedStrings.xml><?xml version="1.0" encoding="utf-8"?>
<sst xmlns="http://schemas.openxmlformats.org/spreadsheetml/2006/main" count="1563" uniqueCount="958">
  <si>
    <t>🚗 AdRide.pl — Master Project Tracker v2.0 | Maj 2026</t>
  </si>
  <si>
    <t>📌 O PROJEKCIE — Czym jest AdRide?</t>
  </si>
  <si>
    <t>AdRide.pl to pierwsza polska platforma marketplace łącząca:
• KIEROWCÓW prywatnych aut (zarabiają 400–1500 zł/mies. na oklejeniu auta reklamą)  
• REKLAMODAWCÓW lokalnych (płacą za mierzalne km ekspozycji, nie za "zasięg szacunkowy")
USP (Unique Selling Proposition):
→ GPS rozliczanie per km (jedyni w Polsce) | Gwarancja 1500 km/mies. lub przedłużenie bezpłatne
→ Panel online 24/7: mapa LIVE tras, impressions, CPM, raporty automatyczne
Pozycjonowanie (Seth Godin):  "Twoja reklama jedzie tam gdzie są Twoi klienci."
Model Hormozi:  Pakiet START — 997 zł/mies. (1 pojazd) | Pakiet SCALE — 2497 zł/mies. (3–5 pojazdów)
Funnel Brunson: Kalkulator Zasięgu GPS (lead magnet) → 5 emaili → Rozmowa → Umowa
Fazy projektu: FAZA 0 (fundamenty) → FAZA 1 (prawna) → FAZA 2 (akwizycja) → FAZA 3 (pilotaż) 
               → FAZA 4 (platforma MVP + GPS App) → FAZA 5 (50 aut) → FAZA 6 (break-even 100 aut)</t>
  </si>
  <si>
    <t>📂 STRUKTURA PLIKU — Opis zakładek</t>
  </si>
  <si>
    <t>ZAKŁADKA</t>
  </si>
  <si>
    <t>CO ZAWIERA</t>
  </si>
  <si>
    <t>STATUS</t>
  </si>
  <si>
    <t>📋 Opis Projektu (TEN ARKUSZ)</t>
  </si>
  <si>
    <t>Opis projektu, struktura zakładek, legenda statusów, nawigacja do zakładek</t>
  </si>
  <si>
    <t>Wszystkie fazy</t>
  </si>
  <si>
    <t>📊 Dashboard</t>
  </si>
  <si>
    <t>Status każdej fazy, % ukończenia, KPI Gates — widok dla Foundera</t>
  </si>
  <si>
    <t>📘 Instrukcja</t>
  </si>
  <si>
    <t>Jak używać pliku, statusy, priorytety, workflow tygodniowy</t>
  </si>
  <si>
    <t>FAZA 0 — Fundamenty</t>
  </si>
  <si>
    <t>20 zadań: ownership, model finansowy, strona, aplikacja GPS (spec), pierwsze kontakty. 07–14.05.2026</t>
  </si>
  <si>
    <t>Aktywna 🔄</t>
  </si>
  <si>
    <t>FAZA 1 — Prawna</t>
  </si>
  <si>
    <t>17 zadań: umowy, RODO, partnerstwo foliowanie, CRM B2B. 14–28.05.2026</t>
  </si>
  <si>
    <t>FAZA 2 — Akwizycja</t>
  </si>
  <si>
    <t>17 zadań: kierowcy waitinglist, cold outreach B2B, case study Piotr. 28.05–25.06.2026</t>
  </si>
  <si>
    <t>Planowana ⏳</t>
  </si>
  <si>
    <t>FAZA 3 — Pilotaż</t>
  </si>
  <si>
    <t>12 zadań: oklejenie 5–10 aut, GPS aktywacja, raport i case study. 25.06–31.07.2026</t>
  </si>
  <si>
    <t>FAZA 4 — Platforma MVP</t>
  </si>
  <si>
    <t>13 zadań GPS App: React Native tracker, panele reklamodawcy + admina, Stripe Connect. 01.07–15.08.2026</t>
  </si>
  <si>
    <t>FAZA 5 — Skalowanie 50 Aut</t>
  </si>
  <si>
    <t>13 zadań: 50 kierowców, 5 reklamodawców, MRR 100k, kalkulator GPS, automatyzacje. 15.08–23.10.2026</t>
  </si>
  <si>
    <t>FAZA 6 — Break-even 100 Aut</t>
  </si>
  <si>
    <t>11 zadań: 100 aut, zysk 25k/mies., start 2. miasto, GPS App v2.0, fundraising. 23.10–31.12.2026</t>
  </si>
  <si>
    <t>📱 GPS App &amp; Panel</t>
  </si>
  <si>
    <t>NOWA ZAKŁADKA: pełna specyfikacja techniczna aplikacji GPS + panelu reklamodawcy. 13 zadań G.01–G.13. Stack: React Native + Next.js + Supabase + Mapbox + Stripe Connect. Algorytm impressions i CPM.</t>
  </si>
  <si>
    <t>🆕 NOWA</t>
  </si>
  <si>
    <t>🤖 Pomoc AI</t>
  </si>
  <si>
    <t>NOWA ZAKŁADKA: 14 promptów gotowych do użycia w Perplexity/Claude/GPT dla każdego obszaru projektu</t>
  </si>
  <si>
    <t>🎨 LEGENDA — Statusy i Priorytety</t>
  </si>
  <si>
    <t xml:space="preserve">STATUSY ZADAŃ:  ⏳ TODO (nie zaczęte)  |  🔄 IN PROGRESS (w toku)  |  ✅ DONE (zakończone)  |  🚫 BLOCKED (zablokowane)  |  ⏭ SKIP (pominięte)
PRIORYTETY:     🔴 KRYTYCZNY (dziś/jutro)  |  🟠 WYSOKI (w tym tygodniu)  |  🟡 ŚREDNI (w tej fazie)  |  🟢 NISKI (gdy czas)
POMOC AI:       Kolumna "POMOC AI 🤖" w każdej zakładce wskazuje zadania gdzie AI może pomóc + numer promptu (np. P-07)
                → Otwórz zakładkę 🤖 Pomoc AI, znajdź prompt o wskazanym ID, skopiuj i wklej do Claude/Perplexity
GPS APP:        Zadania techniczne aplikacji GPS mają ID G.01–G.13 i są opisane w zakładce 📱 GPS App &amp; Panel
</t>
  </si>
  <si>
    <t>🚗 AdRide.pl — Project Tracker &amp; Status Dashboard v2.0</t>
  </si>
  <si>
    <t>Wersja 2.0 | Maj 2026 | Owner: Founder + Justyna | Aktualizacja: 18.05.2026</t>
  </si>
  <si>
    <t>📈 STATUS FAZ</t>
  </si>
  <si>
    <t>FAZA</t>
  </si>
  <si>
    <t>NAZWA FAZY</t>
  </si>
  <si>
    <t>DATA START</t>
  </si>
  <si>
    <t>DATA KONIEC</t>
  </si>
  <si>
    <t>ZADAŃ</t>
  </si>
  <si>
    <t>DONE</t>
  </si>
  <si>
    <t>% UKOŃCZENIA</t>
  </si>
  <si>
    <t>FAZA 0</t>
  </si>
  <si>
    <t>Fundamenty &amp; Decyzje</t>
  </si>
  <si>
    <t>07.05.2026</t>
  </si>
  <si>
    <t>14.05.2026</t>
  </si>
  <si>
    <t>🔄 W TOKU</t>
  </si>
  <si>
    <t>FAZA 1</t>
  </si>
  <si>
    <t>Prawna &amp; Partnerstwa</t>
  </si>
  <si>
    <t>28.05.2026</t>
  </si>
  <si>
    <t>FAZA 2</t>
  </si>
  <si>
    <t>Akwizycja Kierowców &amp; Leady B2B</t>
  </si>
  <si>
    <t>25.06.2026</t>
  </si>
  <si>
    <t>⏳ PLANOWANA</t>
  </si>
  <si>
    <t>FAZA 3</t>
  </si>
  <si>
    <t>Pilotaż 5–10 Aut</t>
  </si>
  <si>
    <t>31.07.2026</t>
  </si>
  <si>
    <t>FAZA 4</t>
  </si>
  <si>
    <t>Platforma MVP + GPS App</t>
  </si>
  <si>
    <t>01.07.2026</t>
  </si>
  <si>
    <t>15.08.2026</t>
  </si>
  <si>
    <t>FAZA 5</t>
  </si>
  <si>
    <t>Skalowanie 50 Aut</t>
  </si>
  <si>
    <t>23.10.2026</t>
  </si>
  <si>
    <t>FAZA 6</t>
  </si>
  <si>
    <t>Break-even 100 Aut</t>
  </si>
  <si>
    <t>31.12.2026</t>
  </si>
  <si>
    <t>🎯 KPI GATES — WARUNKI PRZEJŚCIA DO KOLEJNEJ FAZY</t>
  </si>
  <si>
    <t>PRZEJŚCIE</t>
  </si>
  <si>
    <t>KPI GATE (CO MUSI BYĆ GOTOWE)</t>
  </si>
  <si>
    <t>TARGET</t>
  </si>
  <si>
    <t>FAZA 0→1</t>
  </si>
  <si>
    <t>Ownership + Deck v1.0 + Unit economics + Kontakt Sebastian/Piotr + Hero podmienione + Spec GPS</t>
  </si>
  <si>
    <t>5 deliverables</t>
  </si>
  <si>
    <t>🔄</t>
  </si>
  <si>
    <t>FAZA 1→2</t>
  </si>
  <si>
    <t>Umowa z Włodkiem + Wzory umów prawne + Regulamin/PP + CRM 30 firm + Cennik foliowania</t>
  </si>
  <si>
    <t>FAZA 2→3</t>
  </si>
  <si>
    <t>50 kierowców waitinglist + 1 umowa pilotażowa podpisana + Case study Piotr gotowy</t>
  </si>
  <si>
    <t>50 + 1 + 1</t>
  </si>
  <si>
    <t>⏳</t>
  </si>
  <si>
    <t>FAZA 3→4</t>
  </si>
  <si>
    <t>5–10 aut oklejonych + Raport GPS + Pierwsza faktura opłacona + Case study online</t>
  </si>
  <si>
    <t>min. 5 aut</t>
  </si>
  <si>
    <t>FAZA 4→5</t>
  </si>
  <si>
    <t>GPS App iOS+Android live + Panel kierowcy + Panel reklamodawcy + Stripe Connect</t>
  </si>
  <si>
    <t>3 moduły live</t>
  </si>
  <si>
    <t>FAZA 5→6</t>
  </si>
  <si>
    <t>50 aktywnych aut + 5 reklamodawców + MRR ≥ 100 000 zł</t>
  </si>
  <si>
    <t>50 aut + 100k</t>
  </si>
  <si>
    <t>100 aktywnych aut + Zysk op. ≥ 25 000 zł/mies. + Start 2. miasto</t>
  </si>
  <si>
    <t>100 + 25k</t>
  </si>
  <si>
    <t>📘 INSTRUKCJA OBSŁUGI — AdRide Project Tracker v2.0</t>
  </si>
  <si>
    <t>Jak skutecznie używać tego pliku do prowadzenia projektu AdRide krok po kroku</t>
  </si>
  <si>
    <t>🔵 STATUSY ZADAŃ — jak używać dropdown:</t>
  </si>
  <si>
    <t>⏳ TODO</t>
  </si>
  <si>
    <t>Zadanie jeszcze nie zaczęte</t>
  </si>
  <si>
    <t>🔄 IN PROGRESS</t>
  </si>
  <si>
    <t>Zadanie w toku — pracujesz nad nim</t>
  </si>
  <si>
    <t>✅ DONE</t>
  </si>
  <si>
    <t>Zadanie zakończone — wiersz zmienia kolor na zielony</t>
  </si>
  <si>
    <t>🚫 BLOCKED</t>
  </si>
  <si>
    <t>Zadanie zablokowane — dopisz przyczynę w Notatkach</t>
  </si>
  <si>
    <t>⏭ SKIP</t>
  </si>
  <si>
    <t>Zadanie pominięte — nieistotne w danym kontekście</t>
  </si>
  <si>
    <t>🎯 PRIORYTETY ZADAŃ:</t>
  </si>
  <si>
    <t>🔴 KRYTYCZNY</t>
  </si>
  <si>
    <t>Zrobić dziś lub jutro. Blokuje kolejne zadania lub całą fazę</t>
  </si>
  <si>
    <t>🟠 WYSOKI</t>
  </si>
  <si>
    <t>Zrobić w tym tygodniu. Istotny wpływ na postęp projektu</t>
  </si>
  <si>
    <t>🟡 ŚREDNI</t>
  </si>
  <si>
    <t>Zrobić w tej fazie. Może poczekać kilka dni</t>
  </si>
  <si>
    <t>🟢 NISKI</t>
  </si>
  <si>
    <t>Zrobić gdy jest czas. Nie blokuje innych zadań</t>
  </si>
  <si>
    <t>📋 WORKFLOW — jak pracować z plikiem każdego tygodnia:</t>
  </si>
  <si>
    <t>1️⃣ Otwórz zakładkę aktualnej fazy</t>
  </si>
  <si>
    <t>np. "FAZA 1" lub "FAZA 2" — tam są Twoje zadania</t>
  </si>
  <si>
    <t>2️⃣ Przefiltruj kolumnę DEADLINE</t>
  </si>
  <si>
    <t>Zadania na ten tydzień = Twoja lista priorytetowa</t>
  </si>
  <si>
    <t>3️⃣ Gdy zaczynasz zadanie</t>
  </si>
  <si>
    <t>Zmień Status na 🔄 IN PROGRESS</t>
  </si>
  <si>
    <t>4️⃣ Gdy kończysz zadanie</t>
  </si>
  <si>
    <t>Zmień na ✅ DONE + wpisz datę w kolumnie DATA WYK.</t>
  </si>
  <si>
    <t>5️⃣ Gdy coś blokuje</t>
  </si>
  <si>
    <t>Zmień na 🚫 BLOCKED + opisz w Notatkach</t>
  </si>
  <si>
    <t>6️⃣ Co tydzień</t>
  </si>
  <si>
    <t>Sprawdź Dashboard — widać % ukończenia każdej fazy</t>
  </si>
  <si>
    <t>7️⃣ Faza ukończona gdy</t>
  </si>
  <si>
    <t>WSZYSTKIE zadania mają ✅ DONE lub ⏭ SKIP</t>
  </si>
  <si>
    <t>8️⃣ Przejście do kolejnej fazy</t>
  </si>
  <si>
    <t>Sprawdź KPI Gate (żółty baner na górze arkusza fazy)</t>
  </si>
  <si>
    <t>🤖 POMOC AI — jak używać zakładki Pomoc AI:</t>
  </si>
  <si>
    <t>Skąd wiedzieć że AI może pomóc?</t>
  </si>
  <si>
    <t>W kolumnie "POMOC AI 🤖" każdego zadania jest opis + numer promptu np. "→ P-07"</t>
  </si>
  <si>
    <t>Jak użyć promptu?</t>
  </si>
  <si>
    <t>Otwórz zakładkę 🤖 Pomoc AI, znajdź wiersz z ID P-07, skopiuj treść z kolumny PROMPT GOTOWY DO UŻYCIA</t>
  </si>
  <si>
    <t>Gdzie wkleić prompt?</t>
  </si>
  <si>
    <t>W Perplexity AI (tu jesteś), Claude, GPT-4o lub dowolnym modelu AI</t>
  </si>
  <si>
    <t>Co uzupełnić?</t>
  </si>
  <si>
    <t>Zmienne w [nawiasach kwadratowych] — zamień na swoje dane</t>
  </si>
  <si>
    <t>Czas oszczędności?</t>
  </si>
  <si>
    <t>Każdy prompt zaoszczędza 15–60 min pracy. Razem 14 promptów = ~5–6 godzin</t>
  </si>
  <si>
    <t>📱 GPS APP &amp; PANEL — jak używać zakładki technicznej:</t>
  </si>
  <si>
    <t>Kiedy korzystać?</t>
  </si>
  <si>
    <t>Od FAZY 4 (01.07.2026). Wcześniej: tylko spec i planowanie w FAZA 0 zadanie 0.19</t>
  </si>
  <si>
    <t>Co zawiera?</t>
  </si>
  <si>
    <t>13 zadań G.01–G.13 z opisem technicznym, tech stackiem, linkami do dokumentacji</t>
  </si>
  <si>
    <t>Dla developera?</t>
  </si>
  <si>
    <t>Przekaż mu zakładkę GPS App &amp; Panel — to gotowy brief techniczny dla programisty</t>
  </si>
  <si>
    <t>Nie masz developera?</t>
  </si>
  <si>
    <t>Użyj promptów P-10, P-12 w zakładce Pomoc AI — AI może napisać kod aplikacji GPS</t>
  </si>
  <si>
    <t>Algorytm Impressions?</t>
  </si>
  <si>
    <t>Zadanie G.08 + sekcja 4 w GPS App &amp; Panel — gotowy wzór + dane AADT do pobrania</t>
  </si>
  <si>
    <t>🚗 AdRide.pl — FAZA 0: Fundamenty &amp; Decyzje (07–14.05.2026)</t>
  </si>
  <si>
    <t>📅 07–14.05.2026 | Owner: Founder + Justyna</t>
  </si>
  <si>
    <t>🎯 KPI GATE: ✅ Ownership Justyny | ✅ Deck v1.0 gotowy | ✅ Unit economics policzone | ✅ Kontakt z Sebastianem i Piotrem | ✅ Hero podmienione | ✅ Spec GPS (zakładka GPS App)</t>
  </si>
  <si>
    <t>ID</t>
  </si>
  <si>
    <t>ZADANIE</t>
  </si>
  <si>
    <t>SZCZEGÓŁOWY OPIS</t>
  </si>
  <si>
    <t>KATEGORIA</t>
  </si>
  <si>
    <t>ODPOWIEDZIALNY</t>
  </si>
  <si>
    <t>DEADLINE</t>
  </si>
  <si>
    <t>DATA WYK.</t>
  </si>
  <si>
    <t>PRIORYTET</t>
  </si>
  <si>
    <t>NOTATKI</t>
  </si>
  <si>
    <t>LINKI / DOKUMENTY</t>
  </si>
  <si>
    <t>CZAS (h)</t>
  </si>
  <si>
    <t>POMOC AI 🤖</t>
  </si>
  <si>
    <t xml:space="preserve">  ▶  🏗️ OWNERSHIP &amp; ZESPÓŁ</t>
  </si>
  <si>
    <t>0.01</t>
  </si>
  <si>
    <t>Przeprowadź rozmowę z Justyną o roli PM</t>
  </si>
  <si>
    <t>Ustal: zakres obowiązków (PM), czas zaangażowania (FT/PT), forma prawna (UZ vs B2B), wynagrodzenie, start od kiedy</t>
  </si>
  <si>
    <t>🏗️ OWNERSHIP</t>
  </si>
  <si>
    <t>Founder</t>
  </si>
  <si>
    <t>09.05.2026</t>
  </si>
  <si>
    <t>Bez tej decyzji cały harmonogram blokowany</t>
  </si>
  <si>
    <t>✅ AI: szkic briefu dla PM, lista pytań → Pomoc AI → P-07</t>
  </si>
  <si>
    <t>0.02</t>
  </si>
  <si>
    <t>Ustal formę prawną współpracy z Justyną</t>
  </si>
  <si>
    <t>Opcje: umowa zlecenia / B2B/JDG / wspólnik. Skonsultuj z księgową</t>
  </si>
  <si>
    <t>Founder + Justyna</t>
  </si>
  <si>
    <t>11.05.2026</t>
  </si>
  <si>
    <t>08.05.2026</t>
  </si>
  <si>
    <t>Wpływ na ZUS, PIT, koszty AdRide</t>
  </si>
  <si>
    <t>✅ AI: porównanie form prawnych UZ vs B2B → Pomoc AI</t>
  </si>
  <si>
    <t>0.03</t>
  </si>
  <si>
    <t>Ustal plan wynagrodzeń na 6 miesięcy</t>
  </si>
  <si>
    <t>Wynagrodzenie Justyny + własna wypłata Foundera (tak/nie) + trigger startu wypłat</t>
  </si>
  <si>
    <t>Zapisz w dokumencie – podstawa umów</t>
  </si>
  <si>
    <t>✅ AI: szablon planu wynagrodzeń → Pomoc AI</t>
  </si>
  <si>
    <t>0.04</t>
  </si>
  <si>
    <t>Stwórz podział ról Founder vs PM (RACI)</t>
  </si>
  <si>
    <t>Founder=strategia/sprzedaż B2B; Justyna=operacje/kierowcy/social. Forma: Google Drive</t>
  </si>
  <si>
    <t>12.05.2026</t>
  </si>
  <si>
    <t>Uniknie konfliktów decyzyjnych w Fazie 1</t>
  </si>
  <si>
    <t>✅ AI: szablon RACI dla AdRide → Pomoc AI</t>
  </si>
  <si>
    <t>0.05</t>
  </si>
  <si>
    <t>Skonfiguruj workspace Google Drive / Notion</t>
  </si>
  <si>
    <t>Baza zadań, pipeline B2B, lista kierowców, tracker kampanii, kalendarz</t>
  </si>
  <si>
    <t>Justyna</t>
  </si>
  <si>
    <t>05.11.2026</t>
  </si>
  <si>
    <t>notion.so/templates → Project Management</t>
  </si>
  <si>
    <t>✅ AI: struktura Notion dla AdRide → Pomoc AI → P-09</t>
  </si>
  <si>
    <t xml:space="preserve">  ▶  📊 MODEL FINANSOWY &amp; DECK</t>
  </si>
  <si>
    <t>0.06</t>
  </si>
  <si>
    <t>Zbuduj model unit economics w Google Sheets</t>
  </si>
  <si>
    <t>Wiersze: Przychód/pojazd, Wypłata kierowcy, Marża. Scenariusze: 10/50/100 aut</t>
  </si>
  <si>
    <t>📊 MODEL</t>
  </si>
  <si>
    <t>10.05.2026</t>
  </si>
  <si>
    <t>Marża = Przychód B2B – Wypłata – Koszty admin/pojazd</t>
  </si>
  <si>
    <t>✅ AI: gotowy model unit economics → Pomoc AI → P-01</t>
  </si>
  <si>
    <t>0.07</t>
  </si>
  <si>
    <t>Zaktualizuj model: Reklamodawca płaci za oklejenie</t>
  </si>
  <si>
    <t>NOWY MODEL: AdRide pobiera prowizję. Reklamodawca płaci za oklejenie. Policz nową marżę</t>
  </si>
  <si>
    <t>Efekt: kapitał startowy drastycznie maleje</t>
  </si>
  <si>
    <t>✅ AI: analiza modelu prowizyjnego → Pomoc AI → P-02</t>
  </si>
  <si>
    <t>0.08</t>
  </si>
  <si>
    <t>Oblicz break-even przy nowym modelu</t>
  </si>
  <si>
    <t>Stałe koszty miesięczne → ile aut do break-even? Stary model: 100 aut → Nowy model: mniej</t>
  </si>
  <si>
    <t>Porównaj stary vs nowy model w tabeli</t>
  </si>
  <si>
    <t>✅ AI: kalkulator break-even → Pomoc AI → P-03</t>
  </si>
  <si>
    <t>0.09</t>
  </si>
  <si>
    <t>Przygotuj deck biznesowy v1.0 (12–15 slajdów)</t>
  </si>
  <si>
    <t>Slajdy: Problem, Rozwiązanie, Model, Unit economics, Rynek (OOH 870mln PLN), Harmonogram, Zespół, Partnerzy, Finanse, CTA</t>
  </si>
  <si>
    <t>📊 DECK</t>
  </si>
  <si>
    <t>13.05.2026</t>
  </si>
  <si>
    <t>Dla: Sebastiana, Włodka, Piotra Gilarskiego</t>
  </si>
  <si>
    <t>✅ AI: struktura decku + treść slajdów (Hormozi + Brunson) → Pomoc AI → P-04</t>
  </si>
  <si>
    <t>0.10</t>
  </si>
  <si>
    <t>Przygotuj one-pager PDF</t>
  </si>
  <si>
    <t>1 str A4: Logo+tagline, 3 kroki, ceny, co dostaje kierowca (0.60gr/km&lt;50km, 0.25gr&gt;50km), kontakt</t>
  </si>
  <si>
    <t>Wersja A4 druk + wersja cyfrowa email</t>
  </si>
  <si>
    <t>✅ AI: treść one-pagera z pozycjonowaniem Godin → Pomoc AI → P-05</t>
  </si>
  <si>
    <t xml:space="preserve">  ▶  🌐 STRONA INTERNETOWA + APLIKACJA GPS</t>
  </si>
  <si>
    <t>0.11</t>
  </si>
  <si>
    <t>Podmień zdjęcie hero na adride.pl</t>
  </si>
  <si>
    <t>Pobierz z Unsplash.com (car wrap advertising). Podmień src w ride-2.html. Deploy.</t>
  </si>
  <si>
    <t>🌐 STRONA</t>
  </si>
  <si>
    <t>DZIŚ – każdy kto odwiedza ocenia wiarygodność</t>
  </si>
  <si>
    <t>0.12</t>
  </si>
  <si>
    <t>Uzupełnij treść strony pod nowy model</t>
  </si>
  <si>
    <t>(1) sekcja Jak to działa, (2) Ceny/pakiety, (3) FAQ – kto płaci za oklejenie?</t>
  </si>
  <si>
    <t>Founder+Justyna</t>
  </si>
  <si>
    <t>CTA: "Dołącz jako kierowca" i "Zamów kampanię"</t>
  </si>
  <si>
    <t>✅ AI: copywriting strony (Godin + Hormozi) → Pomoc AI → P-06</t>
  </si>
  <si>
    <t>0.13</t>
  </si>
  <si>
    <t>Ustaw GTM + GA4 + Hotjar + Pixel FB</t>
  </si>
  <si>
    <t>GA4: darmowe, 10 min konfiguracji. Hotjar: heatmapy (free). Cel: skąd ruch, gdzie klikają</t>
  </si>
  <si>
    <t>Tag GA4 w &lt;head&gt; strony</t>
  </si>
  <si>
    <t>✅ AI: instrukcja konfiguracji GA4 i GTM → Pomoc AI</t>
  </si>
  <si>
    <t>0.14</t>
  </si>
  <si>
    <t>Utwórz profil LinkedIn firmowy AdRide.pl</t>
  </si>
  <si>
    <t>Branża: Marketing &amp; Advertising. Logo, baner, opis PL+EN. Zaproś do obserwowania</t>
  </si>
  <si>
    <t>LinkedIn potrzebny do outreach B2B w Fazie 1</t>
  </si>
  <si>
    <t>0.19</t>
  </si>
  <si>
    <t>Aplikacja GPS — specyfikacja + wybór rozwiązania MVP</t>
  </si>
  <si>
    <t>(1) Spec techniczna: śledzenie GPS, km, zdjęcia, pauza prywatna; (2) Opcja MVP: Google Maps "Udostępnij lokalizację" (0 zł); (3) Opcja docelowa: Flutter app. UWAGA: szczegóły w zakładce 📱 GPS App &amp; Panel</t>
  </si>
  <si>
    <t>🌐 APLIKACJA GPS</t>
  </si>
  <si>
    <t>20.05.2026</t>
  </si>
  <si>
    <t>Szczegóły w zakładce GPS App &amp; Panel → zadania G.01–G.11</t>
  </si>
  <si>
    <t>✅ AI: spec techniczna aplikacji GPS → zakładka GPS App + Pomoc AI → P-10, P-12, P-13</t>
  </si>
  <si>
    <t xml:space="preserve">  ▶  📬 PIERWSZE KONTAKTY BIZNESOWE</t>
  </si>
  <si>
    <t>0.15</t>
  </si>
  <si>
    <t>Napisz do Daniela (KIA) – propozycja pilotażu</t>
  </si>
  <si>
    <t>Email: przypomnij skąd się znają, AdRide=reklama GPS, zapytaj o 15-min rozmowę. Dołącz one-pager</t>
  </si>
  <si>
    <t>📬 KONTAKTY</t>
  </si>
  <si>
    <t>Cel: umówić spotkanie, nie sprzedawać przez email</t>
  </si>
  <si>
    <t>✅ AI: email outreach do Daniela (Belfort framework) → Pomoc AI → P-07</t>
  </si>
  <si>
    <t>0.16</t>
  </si>
  <si>
    <t>Skontaktuj się z Piotrem Gilarskim – case study</t>
  </si>
  <si>
    <t>Ustal: termin oklejenia, kto płaci za folię, zakres oklejenia, harmonogram filmików, prawa do materiałów</t>
  </si>
  <si>
    <t>To Twój pierwszy case study – priorytet absolutny</t>
  </si>
  <si>
    <t>✅ AI: skrypt rozmowy z Piotrem → Pomoc AI → P-07</t>
  </si>
  <si>
    <t>0.17</t>
  </si>
  <si>
    <t>Stwórz listę 30 lokalnych marek do outreach</t>
  </si>
  <si>
    <t>Kategorie: gastro(5), fitness(5), e-comm(5), deweloperzy(5), kliniki(5), inne(5). Narzędzie: Google Maps + LinkedIn</t>
  </si>
  <si>
    <t>18.05.2026</t>
  </si>
  <si>
    <t>Min: nazwa + osoba decyzyjna + email</t>
  </si>
  <si>
    <t>https://docs.google.com/spreadsheets/d/1KXAfn12bAb--8CIX_FvABRc4vxUQgotMMUDPA3YJj6A/</t>
  </si>
  <si>
    <t>✅ AI: lista firm + prompt do Apollo/LinkedIn → Pomoc AI → P-08</t>
  </si>
  <si>
    <t>0.18</t>
  </si>
  <si>
    <t>Mapa procesów onboardingu B2C i B2B</t>
  </si>
  <si>
    <t>Cały flow: co się dzieje krok po kroku, kiedy jaka umowa, jakie dokumenty, kto co robi</t>
  </si>
  <si>
    <t>Min: każdy krok udokumentowany</t>
  </si>
  <si>
    <t>✅ AI: flow diagram onboarding B2C i B2B → Pomoc AI → P-09</t>
  </si>
  <si>
    <t>0.20</t>
  </si>
  <si>
    <t>Analiza CPM i impressions GPS</t>
  </si>
  <si>
    <t>1. Jak mierzyć ile osób zobaczyło reklamę (AADT + GPS); 2. Porównanie CPM vs Facebook/Billboard. Szczegóły w zakładce 📱 GPS App &amp; Panel → Kalkulator Impressions</t>
  </si>
  <si>
    <t>Dane AADT bezpłatne: gddkia.gov.pl/pl/965</t>
  </si>
  <si>
    <t>✅ AI: algorytm kalkulacji impressions + CPM → GPS App zakładka G.08 + Pomoc AI → P-13</t>
  </si>
  <si>
    <t>🚗 AdRide.pl — FAZA 1: Prawna &amp; Partnerstwa (14–28.05.2026)</t>
  </si>
  <si>
    <t>📅 14–28.05.2026 | Owner: Founder + Justyna</t>
  </si>
  <si>
    <t>🎯 KPI GATE: ✅ Umowa z Włodkiem | ✅ Wzory umów (kierowca + reklamodawca) | ✅ Regulamin + PP opublikowane | ✅ CRM 30 firm | ✅ Cennik foliowania</t>
  </si>
  <si>
    <t xml:space="preserve">  ▶  ⚖️ ASPEKTY PRAWNE</t>
  </si>
  <si>
    <t>1.01</t>
  </si>
  <si>
    <t>Zlecenie weryfikacji prawnej modelowi AdRide</t>
  </si>
  <si>
    <t>Zakres: (1) ograniczenia prawne reklamy na aucie, (2) forma umowy z kierowcą, (3) GPS/RODO, (4) podatki kierowcy. Budżet: 1000–2000 zł</t>
  </si>
  <si>
    <t>⚖️ PRAWNA</t>
  </si>
  <si>
    <t>16.05.2026</t>
  </si>
  <si>
    <t>Kancelarie: BWHS, Osborne Clarke</t>
  </si>
  <si>
    <t>✅ AI: pytania do prawnika, zakres weryfikacji → Pomoc AI → P-11</t>
  </si>
  <si>
    <t>1.02</t>
  </si>
  <si>
    <t>Przygotuj wzór umowy z kierowcą</t>
  </si>
  <si>
    <t>Elementy: strony, opis usługi, wynagrodzenie brutto, min. przebieg (800 km), zakaz zdejmowania folii, kara umowna, zgoda GPS/RODO</t>
  </si>
  <si>
    <t>Prawnik + Founder</t>
  </si>
  <si>
    <t>Wzór do weryfikacji przez prawnika</t>
  </si>
  <si>
    <t>✅ AI: szkic umowy z kierowcą → Pomoc AI → P-11</t>
  </si>
  <si>
    <t>1.03</t>
  </si>
  <si>
    <t>Przygotuj wzór umowy z reklamodawcą</t>
  </si>
  <si>
    <t>Elementy: zakres kampanii (auta/czas/obszar), cena (oklejenie + prowizja AdRide), raportowanie GPS, prawo do treści reklamy, zasady rozwiązania</t>
  </si>
  <si>
    <t>Kluczowy zapis: odpowiedzialność za treść = reklamodawca</t>
  </si>
  <si>
    <t>✅ AI: szkic umowy z reklamodawcą → Pomoc AI → P-11</t>
  </si>
  <si>
    <t>1.04</t>
  </si>
  <si>
    <t>Weryfikacja ubezpieczeniowa: OC/AC aut oklejonych</t>
  </si>
  <si>
    <t>Sprawdź z brokerem: czy oklejenie komercyjne wpływa na OC/AC? Klauzula dodatkowa? Zmiana taryfy? → odpowiedź pisemna</t>
  </si>
  <si>
    <t>Jeśli klauzula wymagana – wbuduj do umowy z kierowcą</t>
  </si>
  <si>
    <t>✅ AI: pytania do ubezpieczyciela, lista ryzyk → Pomoc AI</t>
  </si>
  <si>
    <t>1.05</t>
  </si>
  <si>
    <t>Weryfikacja podatkowa: PIT kierowcy od wynagrodzenia</t>
  </si>
  <si>
    <t>Sprawdź z księgową: ZUS?, jaki PIT?, FV nierejestrowanej DG, PIT-11 obowiązki AdRide</t>
  </si>
  <si>
    <t>Founder + księgowa</t>
  </si>
  <si>
    <t>Nowe przepisy 2026 dot. rozliczania aut prywatnych</t>
  </si>
  <si>
    <t>✅ AI: checklist podatkowy dla umów z kierowcami → Pomoc AI → P-11</t>
  </si>
  <si>
    <t>1.06</t>
  </si>
  <si>
    <t>Przygotuj Regulamin Platformy adride.pl v1.0</t>
  </si>
  <si>
    <t>Definicje, prawa stron, model finansowy, odpowiedzialność Operatora, kary umowne, prawo PL, sąd Warszawa</t>
  </si>
  <si>
    <t>Justyna + AI</t>
  </si>
  <si>
    <t>22.05.2026</t>
  </si>
  <si>
    <t>Prompt gotowy – wklej do Claude lub GPT-4o</t>
  </si>
  <si>
    <t>✅ AI: szkic regulaminu platformy → Pomoc AI → P-11</t>
  </si>
  <si>
    <t>1.07</t>
  </si>
  <si>
    <t>Przygotuj Politykę Prywatności (RODO) adride.pl v1.0</t>
  </si>
  <si>
    <t>Zakres: administrator, dane kierowców (PESEL, GPS), reklamodawców, podstawy prawne (art.6 RODO), GPS tracking, prawa użytkowników, podmioty trzecie (Stripe, foliarz)</t>
  </si>
  <si>
    <t>GPS tracking → wyraźna zgoda + możliwość rezygnacji</t>
  </si>
  <si>
    <t>✅ AI: polityka prywatności + DPIA → Pomoc AI → P-11</t>
  </si>
  <si>
    <t>1.08</t>
  </si>
  <si>
    <t>Weryfikacja prawna Regulaminu i PP przez prawnika</t>
  </si>
  <si>
    <t>Prześlij oba dokumenty do Agnieszki Wieteska + Ola (sfundr). Koszt: 500–1000 zł</t>
  </si>
  <si>
    <t>Founder + Prawnik</t>
  </si>
  <si>
    <t>26.05.2026</t>
  </si>
  <si>
    <t>NIE publikuj bez weryfikacji prawnika</t>
  </si>
  <si>
    <t xml:space="preserve">  ▶  🤝 PARTNERSTWO WŁODEK / Robert (FOLIOWANIE)</t>
  </si>
  <si>
    <t>1.09</t>
  </si>
  <si>
    <t>Umów spotkanie z Włodkiem (autodetailing)</t>
  </si>
  <si>
    <t>Agenda: (1) model AdRide, (2) stawki (pełne/częściowe/demontaż), (3) harmonogram realizacji, (4) możliwość kredytu kupieckiego</t>
  </si>
  <si>
    <t>🤝 FOLIOWANIE</t>
  </si>
  <si>
    <t>Przygotuj deck + kalkulację: ile zleceń rocznie przy 100 autach</t>
  </si>
  <si>
    <t>✅ AI: przygotowanie do rozmowy z Włodkiem → Pomoc AI → P-07</t>
  </si>
  <si>
    <t>1.10</t>
  </si>
  <si>
    <t>Ustal cennik usług foliowania</t>
  </si>
  <si>
    <t>Wycena: oklejenie pełne/częściowe/tył+szyby, demontaż, naprawy folii. Standardy: min. 3M lub równoważna</t>
  </si>
  <si>
    <t>Founder + Włodek</t>
  </si>
  <si>
    <t>Zapisz jako oficjalny cennik – wejdzie do umowy</t>
  </si>
  <si>
    <t>1.11</t>
  </si>
  <si>
    <t>Podpisz umowę ramową z Włodkiem / Robertem</t>
  </si>
  <si>
    <t>Elementy: Włodek=preferencyjny wykonawca, cennik, czas realizacji, standard jakości, procedura reklamacji, poufność</t>
  </si>
  <si>
    <t>23.05.2026</t>
  </si>
  <si>
    <t>Opcja: zacznij od MOU (Letter of Intent)</t>
  </si>
  <si>
    <t>✅ AI: szkic umowy ramowej z Włodkiem → Pomoc AI → P-11</t>
  </si>
  <si>
    <t>1.12</t>
  </si>
  <si>
    <t>Zidentyfikuj 2 rezerwowych wykonawców foliowania</t>
  </si>
  <si>
    <t>Google: "oklejanie samochodów Warszawa profesjonalne" + grupy FB. Lista: Firma|Kontakt|Cena|Dostępność</t>
  </si>
  <si>
    <t>Backup przy skoku zapotrzebowania</t>
  </si>
  <si>
    <t>https://docs.google.com/document/d/1UAJRbej2Ms67dm3ijqyQk9YhARut_0VXRUGuPiO-ZKc/</t>
  </si>
  <si>
    <t>1.13</t>
  </si>
  <si>
    <t>Ustal procedurę zlecania oklejenia (workflow)</t>
  </si>
  <si>
    <t>Krok po kroku: matchowanie → kontakt z Włodkiem → termin → oklejenie → zdjęcia → faktura → start kampanii</t>
  </si>
  <si>
    <t>Founder + Justyna + Włodek</t>
  </si>
  <si>
    <t>Ten workflow wejdzie do Regulaminu i umów</t>
  </si>
  <si>
    <t>✅ AI: diagram procesu operacyjnego → Pomoc AI → P-09</t>
  </si>
  <si>
    <t xml:space="preserve">  ▶  📋 SPRZEDAŻ B2B – PRZYGOTOWANIE</t>
  </si>
  <si>
    <t>1.14</t>
  </si>
  <si>
    <t>Zbuduj pipeline CRM B2B w Google Sheets</t>
  </si>
  <si>
    <t>Kolumny: ID|Firma|Branża|Kontakt|Email|Tel|LinkedIn|Status|Data|Notatki|Następny krok. Min. 30 firm</t>
  </si>
  <si>
    <t>📋 SPRZEDAŻ</t>
  </si>
  <si>
    <t>19.05.2026</t>
  </si>
  <si>
    <t>Faza 2+: Pipedrive (14 dni trial). MVP: Google Sheets</t>
  </si>
  <si>
    <t>✅ AI: szablon CRM + struktura pipeline → Pomoc AI → P-08</t>
  </si>
  <si>
    <t>1.15</t>
  </si>
  <si>
    <t>Przygotuj email template cold outreach</t>
  </si>
  <si>
    <t>Temat: "Twoje logo na 10 autach w Warszawie". Treść: hook → 3 zdania → cena → CTA (15-min rozmowa). Max 150 słów</t>
  </si>
  <si>
    <t>Przygotuj 2 wersje A/B test – różny hook</t>
  </si>
  <si>
    <t>✅ AI: cold email (Belfort framework, Hormozi offer) → Pomoc AI → P-07</t>
  </si>
  <si>
    <t>1.16</t>
  </si>
  <si>
    <t>Przygotuj pakiety ofertowe dla reklamodawców</t>
  </si>
  <si>
    <t>START: 997/mies., 1 pojazd | SCALE: 2497/mies., 3–5 pojazdów. Dla każdego: cena, gwarancja km, panel GPS, raport PDF</t>
  </si>
  <si>
    <t>Pakiety = nie negocjujesz od zera każdej rozmowy</t>
  </si>
  <si>
    <t>✅ AI: Grand Slam Offer (Hormozi) dla AdRide → Pomoc AI → P-04</t>
  </si>
  <si>
    <t>1.17</t>
  </si>
  <si>
    <t>Skonfiguruj Apollo.io do prospectingu B2B</t>
  </si>
  <si>
    <t>Apollo.io free: 50 eksportów/mies. Szukaj: gastro/fitness/e-comm/RE + Warszawa + Marketing Manager/Właściciel/CEO</t>
  </si>
  <si>
    <t>Alternatywa: LinkedIn Sales Navigator (30 dni trial)</t>
  </si>
  <si>
    <t>✅ AI: prompt do Apollo.io, kryteria filtrów → Pomoc AI → P-08</t>
  </si>
  <si>
    <t>🚗 AdRide.pl — FAZA 2: Akwizycja Kierowców &amp; Leady B2B (28.05–25.06.2026)</t>
  </si>
  <si>
    <t>📅 28.05–25.06.2026 | Owner: Justyna (kierowcy) + Founder (B2B)</t>
  </si>
  <si>
    <t>🎯 KPI GATE: ✅ 50 kierowców waitinglist | ✅ 1 umowa pilotażowa podpisana | ✅ Case study Piotr Gilarski gotowy | ✅ 30 firm w CRM skontaktowanych</t>
  </si>
  <si>
    <t xml:space="preserve">  ▶  🚗 AKWIZYCJA KIEROWCÓW (WAITINGLIST)</t>
  </si>
  <si>
    <t>2.01</t>
  </si>
  <si>
    <t>Stwórz formularz rejestracji kierowców (Google Form)</t>
  </si>
  <si>
    <t>Pola: Imię, Email, Tel, Miasto, Marka/model auta, Rocznik, Przebieg/mies., Uber/Bolt (tak/nie), Zgoda RODO. Auto-email przez Zapier</t>
  </si>
  <si>
    <t>🚗 KIEROWCY</t>
  </si>
  <si>
    <t>29.05.2026</t>
  </si>
  <si>
    <t>Zapier free: Form → Sheets → Gmail. 30 min konfiguracji</t>
  </si>
  <si>
    <t>✅ AI: treść emaila powitalnego dla kierowcy → Pomoc AI → P-06</t>
  </si>
  <si>
    <t>2.02</t>
  </si>
  <si>
    <t>Dodaj link do formularza na stronie</t>
  </si>
  <si>
    <t>Sekcja: "Zarabiaj na swoim aucie". CTA: "Dołącz do listy – bezpłatnie". Counter społeczny: "Już X kierowców czeka"</t>
  </si>
  <si>
    <t>Counter social proof możesz aktualizować ręcznie co tydzień</t>
  </si>
  <si>
    <t>2.03</t>
  </si>
  <si>
    <t>Uruchom kampanię FB/Instagram Ads – kierowcy</t>
  </si>
  <si>
    <t>Budżet: 1000–2000 zł. Target: Warszawa+30km, 22–45l, zainteresowania: Bolt/Uber/motoryzacja. Kreacja: zdjęcie oklejonego auta + "Zarabiaj 1500 zł/mies."</t>
  </si>
  <si>
    <t>01.06.2026</t>
  </si>
  <si>
    <t>A/B test: 2 kreacje + 2 copy. Optymalizuj po 3 dniach</t>
  </si>
  <si>
    <t>✅ AI: kreacja reklamowa + copy FB Ads → Pomoc AI → P-06</t>
  </si>
  <si>
    <t>2.04</t>
  </si>
  <si>
    <t>Opublikuj posty w 10 grupach FB motoryzacyjnych</t>
  </si>
  <si>
    <t>Grupy: Bolt Warszawa, Uber PL, Oszczędzanie i zarabianie, Motoryzacja Warszawa itp. 1 post = 1 grupa. Nie spamuj</t>
  </si>
  <si>
    <t>Modyfikuj każdy post lekko – nie copy-paste</t>
  </si>
  <si>
    <t>✅ AI: szablony postów dla grup FB → Pomoc AI → P-06</t>
  </si>
  <si>
    <t>2.05</t>
  </si>
  <si>
    <t>Content na Instagram i TikTok – seria "Zarabiaj na aucie"</t>
  </si>
  <si>
    <t>Serie 3 filmów: (1) ile można zarobić?, (2) jak działa AdRide?, (3) case study Piotr. Format 30–60 sek. Smartfon = OK</t>
  </si>
  <si>
    <t>Justyna + Piotr</t>
  </si>
  <si>
    <t>10.06.2026</t>
  </si>
  <si>
    <t>Piotr Gilarski = naturalny bohater serii</t>
  </si>
  <si>
    <t>✅ AI: scenariusze filmów TikTok + hook pierwszych 3 sek → Pomoc AI → P-06</t>
  </si>
  <si>
    <t>2.06</t>
  </si>
  <si>
    <t>Outreach w grupach Bolt/Uber na Telegramie</t>
  </si>
  <si>
    <t>Znajdź grupy "Bolt Drivers Warsaw", "Uber PL". Krótka wiadomość: kim jesteś, co oferujesz, link. Buduj relacje, nie sprzedawaj od razu</t>
  </si>
  <si>
    <t>05.06.2026</t>
  </si>
  <si>
    <t>Cel: 10–15 kierowców Bolt/Uber (duże przebiegi = lepsza ekspozycja)</t>
  </si>
  <si>
    <t>2.07</t>
  </si>
  <si>
    <t>Osiągnij cel: 50 kierowców na waitinglist</t>
  </si>
  <si>
    <t>Tydzień 1: 0→15, Tydzień 2: 15→35, Tydzień 3: 35→50. Tracking: źródło, data, dane. Bez 50 kierowców = nie idź na spotkanie B2B</t>
  </si>
  <si>
    <t>20.06.2026</t>
  </si>
  <si>
    <t>BEZ 50 KIEROWCÓW = nie podpisuj umowy z reklamodawcą</t>
  </si>
  <si>
    <t xml:space="preserve">  ▶  📞 SPRZEDAŻ B2B – OUTREACH</t>
  </si>
  <si>
    <t>2.08</t>
  </si>
  <si>
    <t>Wyślij cold email do 15 firm (batch 1)</t>
  </si>
  <si>
    <t>Pierwsze 15 firm. Czekaj 3 dni. Follow-up do nieodpowiadających. Open rate &gt;30% = dobra lista</t>
  </si>
  <si>
    <t>📞 B2B</t>
  </si>
  <si>
    <t>03.06.2026</t>
  </si>
  <si>
    <t>Instantly.ai (trial) lub Mailchimp. Personalizuj: [imię], [firma]</t>
  </si>
  <si>
    <t>✅ AI: cold email A/B + follow-up → Pomoc AI → P-07</t>
  </si>
  <si>
    <t>2.09</t>
  </si>
  <si>
    <t>Wyślij cold email do kolejnych 15 firm (batch 2)</t>
  </si>
  <si>
    <t>Użyj wniosków z batch 1: lepszy open rate? Zoptymalizuj copy. Łącznie: 30 firm skontaktowanych</t>
  </si>
  <si>
    <t>Jeśli &lt;10% odpowiedzi – zmień hook. Testuj 2 wersje tematu</t>
  </si>
  <si>
    <t>✅ AI: optymalizacja emaili na podstawie wyników → Pomoc AI → P-07</t>
  </si>
  <si>
    <t>2.10</t>
  </si>
  <si>
    <t>Umów 3–5 spotkań/rozmów demo</t>
  </si>
  <si>
    <t>Po emailu: odpowiedź → od razu proponuj datę. Calendly (darmowy). Spotkanie: 20 min, deck, propozycja pilotażu</t>
  </si>
  <si>
    <t>15.06.2026</t>
  </si>
  <si>
    <t>Ustaw Calendly – brak emailowego ping-ponga</t>
  </si>
  <si>
    <t>✅ AI: skrypt rozmowy demo (Straight Line Belfort) → Pomoc AI → P-07</t>
  </si>
  <si>
    <t>2.11</t>
  </si>
  <si>
    <t>Podpisz 1 umowę pilotażową z reklamodawcą</t>
  </si>
  <si>
    <t>Warunki: 3–5 aut, 3 mies., reklamodawca płaci za oklejenie + prowizję AdRide. Wzór umowy z Fazy 1</t>
  </si>
  <si>
    <t>MILESTONE – pierwsza podpisana umowa komercyjna</t>
  </si>
  <si>
    <t>✅ AI: skrypt zamknięcia + obsługa obiekcji → Pomoc AI → P-07</t>
  </si>
  <si>
    <t>2.12</t>
  </si>
  <si>
    <t>Follow-up z Sebastianem</t>
  </si>
  <si>
    <t>Jeśli nie odpowiedział na one-pager: zadzwoń (nie emailuj). Propozycja: reklamodawca lub ambasador (polecenia za prowizję)</t>
  </si>
  <si>
    <t>06.06.2026</t>
  </si>
  <si>
    <t>Sebastian może być łącznikiem do jego sieci kontaktów</t>
  </si>
  <si>
    <t>✅ AI: skrypt rozmowy follow-up → Pomoc AI → P-07</t>
  </si>
  <si>
    <t>2.13</t>
  </si>
  <si>
    <t>Wyślij propozycję pilotażu do 5 wybranych firm</t>
  </si>
  <si>
    <t>Po rozmowach demo: spersonalizowana propozycja PDF (deck + cennik). Follow-up po 3 dniach telefonem</t>
  </si>
  <si>
    <t>Propozycja: max 2 strony. Kwota + co dostaną + jak mierzymy</t>
  </si>
  <si>
    <t>✅ AI: szablon propozycji handlowej PDF → Pomoc AI → P-04</t>
  </si>
  <si>
    <t xml:space="preserve">  ▶  📸 CASE STUDY PIOTR GILARSKI</t>
  </si>
  <si>
    <t>2.14</t>
  </si>
  <si>
    <t>Harmonogram oklejenia auta Piotra</t>
  </si>
  <si>
    <t>Koordynacja: Piotr jedzie do Włodka, termin, projekt reklamy na auto. Zdjęcia PRZED i PO</t>
  </si>
  <si>
    <t>📸 CASE STUDY</t>
  </si>
  <si>
    <t>Founder + Włodek + Piotr</t>
  </si>
  <si>
    <t>Pierwsze fizyczne oklejenie – traktuj jak event</t>
  </si>
  <si>
    <t>2.15</t>
  </si>
  <si>
    <t>Nagraj 3 filmiki z Piotrem Gilarskim</t>
  </si>
  <si>
    <t>Film 1: "Dlaczego?", Film 2: behind-the-scenes oklejania, Film 3: "Jak to jest?" po oklejeniu. Smartfon + statyw</t>
  </si>
  <si>
    <t>Wideo = najsilniejszy content dla AdRide</t>
  </si>
  <si>
    <t>✅ AI: scenariusze 3 filmów + skrypt wywiadu → Pomoc AI → P-06</t>
  </si>
  <si>
    <t>2.16</t>
  </si>
  <si>
    <t>Stwórz case study PDF + landing page</t>
  </si>
  <si>
    <t>PDF: profil Piotra, zdjęcia, ile zarobił, cytat. Landing /case-study na adride.pl</t>
  </si>
  <si>
    <t>Canva do PDF, Framer/Webflow do landing page</t>
  </si>
  <si>
    <t>✅ AI: treść case study + struktura landing page → Pomoc AI → P-05</t>
  </si>
  <si>
    <t>2.17</t>
  </si>
  <si>
    <t>Opublikuj case study na LinkedIn i social media</t>
  </si>
  <si>
    <t>LinkedIn: zdjęcie Piotra + historia + link. TikTok: film 2 i 3. Reels: krótki fragment. Cel: social proof dla reklamodawców</t>
  </si>
  <si>
    <t>28.06.2026</t>
  </si>
  <si>
    <t>Tagi: #reklamamobilna #AdRide #zarabiajnaauto</t>
  </si>
  <si>
    <t>✅ AI: post LinkedIn + caption → Pomoc AI → P-06</t>
  </si>
  <si>
    <t>🚗 AdRide.pl — FAZA 3: Pilotaż 5–10 Aut (25.06–31.07.2026)</t>
  </si>
  <si>
    <t>📅 25.06–31.07.2026 | Owner: Founder + Justyna + Włodek</t>
  </si>
  <si>
    <t>🎯 KPI GATE: ✅ 5–10 aut aktywnie oklejonych | ✅ Case study pilotażu gotowy | ✅ Zdjęcia + raport GPS na stronie | ✅ Pierwsza faktura opłacona | ✅ GPS dane zbierane</t>
  </si>
  <si>
    <t xml:space="preserve">  ▶  🚙 PILOTAŻ – AKTYWACJA PIERWSZYCH AUT</t>
  </si>
  <si>
    <t>3.01</t>
  </si>
  <si>
    <t>Selekcja i kwalifikacja pierwszych 5–10 kierowców</t>
  </si>
  <si>
    <t>Kryteria: auto &lt;8 lat, przebieg &gt;1000 km/mies., brak uszkodzeń karoserii, dostępność na oklejenie</t>
  </si>
  <si>
    <t>🚙 PILOTAŻ</t>
  </si>
  <si>
    <t>Zaproś z waitinglisty – telefon + email konfirmacyjny</t>
  </si>
  <si>
    <t>✅ AI: kryteria oceny kierowców + skrypt kwalifikacji → Pomoc AI → P-09</t>
  </si>
  <si>
    <t>3.02</t>
  </si>
  <si>
    <t>Koordynacja oklejenia 5–10 aut</t>
  </si>
  <si>
    <t>Ustal terminy z Włodkiem. Każde auto: projekt reklamy (reklamodawca akceptuje), foliowanie, zdjęcia przed/po, GPS aktywacja</t>
  </si>
  <si>
    <t>10.07.2026</t>
  </si>
  <si>
    <t>Harmonogram: max 2 auta/tydzień przy 1 foliowni</t>
  </si>
  <si>
    <t>3.03</t>
  </si>
  <si>
    <t>Podpisz umowy z 5–10 pierwszymi kierowcami</t>
  </si>
  <si>
    <t>Użyj wzoru z Fazy 1. Każda umowa: wynagrodzenie, przebieg min., zgoda GPS, zakaz zdejmowania folii</t>
  </si>
  <si>
    <t>15.07.2026</t>
  </si>
  <si>
    <t>Dokumenty archiwizuj w Google Drive</t>
  </si>
  <si>
    <t>✅ AI: checklist podpisywania umów → Pomoc AI → P-11</t>
  </si>
  <si>
    <t>3.04</t>
  </si>
  <si>
    <t>Aktywacja GPS na wszystkich aktywnych pojazdach</t>
  </si>
  <si>
    <t>Zgodnie ze specyfikacją z zakładki GPS App &amp; Panel (zadania G.01–G.04). Wersja MVP lub tracking manualny</t>
  </si>
  <si>
    <t>SZCZEGÓŁY: zakładka GPS App &amp; Panel → G.01–G.11</t>
  </si>
  <si>
    <t>✅ AI: instrukcja aktywacji GPS MVP + skrypt → Pomoc AI → P-10, P-12</t>
  </si>
  <si>
    <t>3.05</t>
  </si>
  <si>
    <t>Pierwsze zdjęcia / fotodokumentacja aut</t>
  </si>
  <si>
    <t>Zdjęcia: (1) przed oklejeniem, (2) po oklejeniu (przód/tył/boki), (3) auto w ruchu. Wgraj do Google Drive / Notion</t>
  </si>
  <si>
    <t>Zdjęcia = materiał do case study i decku</t>
  </si>
  <si>
    <t>✅ AI: brief fotograficzny + kompozycja zdjęć → Pomoc AI</t>
  </si>
  <si>
    <t xml:space="preserve">  ▶  📊 RAPORTOWANIE I CASE STUDY</t>
  </si>
  <si>
    <t>3.06</t>
  </si>
  <si>
    <t>Przygotuj raport miesięczny dla reklamodawcy v1</t>
  </si>
  <si>
    <t>Template: km przejechane, mapa tras (screenshot GPS), obszary geograficzne, zdjęcia w terenie, szacowane impressions. Format PDF</t>
  </si>
  <si>
    <t>📊 RAPORT</t>
  </si>
  <si>
    <t>Pierwszy raport = fundament zaufania reklamodawcy</t>
  </si>
  <si>
    <t>✅ AI: szablon raportu GPS (Hormozi proof) → Pomoc AI → P-05</t>
  </si>
  <si>
    <t>3.07</t>
  </si>
  <si>
    <t>Stwórz case study pilotażu (pełny)</t>
  </si>
  <si>
    <t>Zbierz: dane GPS, zdjęcia, wynagrodzenia kierowców, opinia reklamodawcy. Stwórz PDF i wpis na stronę</t>
  </si>
  <si>
    <t>Ten case study to Twój główny argument sprzedażowy</t>
  </si>
  <si>
    <t>✅ AI: struktura case study + treść → Pomoc AI → P-05</t>
  </si>
  <si>
    <t>3.08</t>
  </si>
  <si>
    <t>Analiza wyników pilotażu: wnioski i optymalizacja</t>
  </si>
  <si>
    <t>Co działa, co nie działa: kierowcy (przebiegi), reklamodawca (satysfakcja), GPS (jakość danych), czas reakcji oklejenia</t>
  </si>
  <si>
    <t>Wnioski = input do Fazy 4 (Platforma MVP)</t>
  </si>
  <si>
    <t>✅ AI: analiza SWOT pilotażu + lista usprawnień → Pomoc AI → P-01</t>
  </si>
  <si>
    <t>3.09</t>
  </si>
  <si>
    <t>Wyślij pierwszą fakturę reklamodawcy</t>
  </si>
  <si>
    <t>Faktura za: oklejenie + pierwsza rata kampanii. Upewnij się że płatność przeszła PRZED startem następnego okresu</t>
  </si>
  <si>
    <t>Founder / księgowa</t>
  </si>
  <si>
    <t>MILESTONE: pierwsza faktura opłacona = projekt działa komercyjnie</t>
  </si>
  <si>
    <t xml:space="preserve">  ▶  🎯 CONTENT &amp; SPRZEDAŻ B2B (FAZA 3)</t>
  </si>
  <si>
    <t>3.10</t>
  </si>
  <si>
    <t>Gary Vee content week — dokumentuj pilotaż</t>
  </si>
  <si>
    <t>TikTok: "tydzień z pierwszym kierowcą AdRide", LinkedIn: post z wynikami, Instagram: before/after aut. DOCUMENT, nie twórz</t>
  </si>
  <si>
    <t>🎯 CONTENT</t>
  </si>
  <si>
    <t>Jeden dzień w terenie = content na 2 tygodnie</t>
  </si>
  <si>
    <t>✅ AI: scenariusze filmów dokumentacyjnych + posty → Pomoc AI → P-06</t>
  </si>
  <si>
    <t>3.11</t>
  </si>
  <si>
    <t>Zamknij 2–3 kolejne umowy B2B</t>
  </si>
  <si>
    <t>Na podstawie case study pilotażu. Skrypt Belforta + oferta Hormoziego. Cel: 5 reklamodawców łącznie</t>
  </si>
  <si>
    <t>🎯 SPRZEDAŻ</t>
  </si>
  <si>
    <t>5 reklamodawców = próg wyjścia na break-even przy 20 autach</t>
  </si>
  <si>
    <t>✅ AI: skrypt sprzedażowy z case study → Pomoc AI → P-07</t>
  </si>
  <si>
    <t>3.12</t>
  </si>
  <si>
    <t>Przygotuj się do budowy Platformy MVP (Faza 4)</t>
  </si>
  <si>
    <t>Zbierz wymagania: co ma robić panel kierowcy, panel reklamodawcy, tracking GPS. Wybierz stack technologiczny</t>
  </si>
  <si>
    <t>🎯 TECH</t>
  </si>
  <si>
    <t>✅ AI: tech spec + wireframes paneli → Pomoc AI → P-12, P-13</t>
  </si>
  <si>
    <t>🚗 AdRide.pl — FAZA 4: Platforma MVP (GPS App + Panele) (01.07–15.08.2026)</t>
  </si>
  <si>
    <t>📅 01.07–15.08.2026 | Owner: Founder + Dev</t>
  </si>
  <si>
    <t>🎯 KPI GATE: ✅ Aplikacja GPS działająca na iOS + Android | ✅ Panel kierowcy online | ✅ Panel reklamodawcy z mapą LIVE | ✅ Stripe Connect działa | ✅ GPS zbiera i wyświetla dane | ✅ Panel admin | KPI: 3 moduły live</t>
  </si>
  <si>
    <t xml:space="preserve">  ▶  📱 APLIKACJA GPS DLA KIEROWCÓW (MOBILE APP)</t>
  </si>
  <si>
    <t>4.01</t>
  </si>
  <si>
    <t>Wybór stacku tech – Mobile App GPS</t>
  </si>
  <si>
    <t>Opcja MVP fast: React Native + Expo + expo-location (background GPS). Alternatywa: Flutter. Oba mają GPS w tle i są cross-platform. Koszt: 0 zł devtools, hosting ~50 zł/mies.</t>
  </si>
  <si>
    <t>📱 GPS APP</t>
  </si>
  <si>
    <t>Founder + Dev</t>
  </si>
  <si>
    <t>05.07.2026</t>
  </si>
  <si>
    <t>React Native + Expo to najszybszy czas do działającego MVP. SZCZEGÓŁY → zakładka GPS App &amp; Panel</t>
  </si>
  <si>
    <t>✅ AI: porównanie React Native vs Flutter dla GPS → Pomoc AI → P-10, P-12</t>
  </si>
  <si>
    <t>4.02</t>
  </si>
  <si>
    <t>Implementacja trackers GPS — zbieranie danych</t>
  </si>
  <si>
    <t>Moduł zbierający: lat/lon co 30 sek, dystans (Haversine), prędkość, timestamp, ID pojazdu, ID kampanii. Pauza "tryb prywatny". Dane → Supabase/Firebase (REST API)</t>
  </si>
  <si>
    <t>Dev</t>
  </si>
  <si>
    <t>Background location permission wymagane (iOS + Android). Szczegóły algorytmu → zakładka GPS App &amp; Panel G.04</t>
  </si>
  <si>
    <t>✅ AI: gotowy kod trackera GPS (React Native + Expo) → Pomoc AI → P-10, P-12</t>
  </si>
  <si>
    <t>4.03</t>
  </si>
  <si>
    <t>Panel kierowcy – widok aplikacji mobilnej</t>
  </si>
  <si>
    <t>Ekrany: (1) Dashboard (km miesięczne, zarobki, kampania aktywna), (2) Mapa tras (historia przejechanych tras), (3) Wypłata (stan konta, daty przelewów), (4) Profil + dokumenty. SZCZEGÓŁY → GPS App &amp; Panel</t>
  </si>
  <si>
    <t>25.07.2026</t>
  </si>
  <si>
    <t>UX: musi być prosta. Kierowca sprawdza 1 x dzień, 30 sek</t>
  </si>
  <si>
    <t>✅ AI: wireframes panelu kierowcy + user stories → Pomoc AI → P-12, P-13</t>
  </si>
  <si>
    <t>4.04</t>
  </si>
  <si>
    <t>Funkcja zdjęć dowodowych (proof-of-placement)</t>
  </si>
  <si>
    <t>Kierowca robi zdjęcie auta z reklamą: aparat → geotag (GPS coord) → timestamp → upload do storage (Supabase/Firebase). Admin widzi w panelu</t>
  </si>
  <si>
    <t>Wymagane przez DPIA jako weryfikacja kampanii. Geotag = dowód lokalizacji</t>
  </si>
  <si>
    <t>✅ AI: spec modułu zdjęć dowodowych → Pomoc AI → P-12</t>
  </si>
  <si>
    <t>4.05</t>
  </si>
  <si>
    <t>Algorytm obliczania impressions GPS</t>
  </si>
  <si>
    <t>Na podstawie: km przejechanych, danych AADT (natężenie ruchu GDDKiA), stref miejskich. Wynik: estymowane dziennie/miesięczne impressions + CPM. SZCZEGÓŁY: zakładka GPS App &amp; Panel → G.08</t>
  </si>
  <si>
    <t>Dev + Founder</t>
  </si>
  <si>
    <t>01.08.2026</t>
  </si>
  <si>
    <t>Dane AADT bezpłatne: gddkia.gov.pl. Model impressions = USP produktu</t>
  </si>
  <si>
    <t>✅ AI: gotowy algorytm + kod Python/JS impressions → Pomoc AI → P-13</t>
  </si>
  <si>
    <t>4.06</t>
  </si>
  <si>
    <t>Wdrożenie aplikacji: TestFlight (iOS) + beta Android</t>
  </si>
  <si>
    <t>Dystrybucja testowa do pierwszych 10 kierowców. Zbierz feedback (formularze). Poprawki przed publicznym launch</t>
  </si>
  <si>
    <t>Dev + Justyna</t>
  </si>
  <si>
    <t>10.08.2026</t>
  </si>
  <si>
    <t>TestFlight: wymagane konto Apple Developer (99$/rok). Android: APK bezpośrednio</t>
  </si>
  <si>
    <t>✅ AI: plan beta testów + formularz feedbacku → Pomoc AI → P-12</t>
  </si>
  <si>
    <t xml:space="preserve">  ▶  🖥️ PANEL REKLAMODAWCY (WEB DASHBOARD)</t>
  </si>
  <si>
    <t>4.07</t>
  </si>
  <si>
    <t>Projekt UX/UI panelu reklamodawcy</t>
  </si>
  <si>
    <t>Ekrany: (1) Dashboard (km, impressions, CPM, mapa LIVE), (2) Mapa tras (agregacja wszystkich pojazdów kampanii), (3) Pojazdy (lista, status, zdjęcia), (4) Raporty (eksport PDF/CSV), (5) Faktury</t>
  </si>
  <si>
    <t>🖥️ PANEL</t>
  </si>
  <si>
    <t>Stack: Next.js + Tailwind + Mapbox/Google Maps API. SZCZEGÓŁY → GPS App &amp; Panel</t>
  </si>
  <si>
    <t>✅ AI: wireframes panelu reklamodawcy + user stories → Pomoc AI → P-12, P-13</t>
  </si>
  <si>
    <t>4.08</t>
  </si>
  <si>
    <t>Mapa LIVE tras GPS w panelu reklamodawcy</t>
  </si>
  <si>
    <t>Integracja Mapbox GL JS lub Google Maps Platform. Poligony stref, heat map gęstości tras, filtr po czasie/pojazd. Update co 5 min (nie live stream – oszczędność kosztów API)</t>
  </si>
  <si>
    <t>Mapbox free tier: 50k/mies. tile requests. Google Maps: $7/1000 req. Wybierz Mapbox</t>
  </si>
  <si>
    <t>✅ AI: kod integracji Mapbox + heat map tras → Pomoc AI → P-12, P-13</t>
  </si>
  <si>
    <t>4.09</t>
  </si>
  <si>
    <t>Moduł raportowania automatycznego (PDF/email)</t>
  </si>
  <si>
    <t>Generowanie raportu miesięcznego: km, mapa tras (screenshot), impressions, CPM, zdjęcia aut. Auto-wysyłka emailem 1-go każdego miesiąca. Stack: jsPDF lub Puppeteer</t>
  </si>
  <si>
    <t>Raport = główna wartość dla reklamodawcy. Zastępuje ręczne PDF</t>
  </si>
  <si>
    <t>✅ AI: spec raportu automatycznego + szablon PDF → Pomoc AI → P-05, P-12</t>
  </si>
  <si>
    <t>4.10</t>
  </si>
  <si>
    <t>Integracja płatności Stripe Connect</t>
  </si>
  <si>
    <t>Stripe Connect (marketplace model): reklamodawca płaci → AdRide zatrzymuje prowizję → wypłata kierowcy automatyczna. Subaccounts dla każdego kierowcy. RODO: dane bankowe przez Stripe, nie AdRide</t>
  </si>
  <si>
    <t>Stripe Connect Marketplace: 0.25% + $0.25 per payout. Koszt niski</t>
  </si>
  <si>
    <t>✅ AI: dokumentacja Stripe Connect setup + code → Pomoc AI → P-12</t>
  </si>
  <si>
    <t xml:space="preserve">  ▶  ⚙️ PANEL ADMINA + INFRASTRUKTURA</t>
  </si>
  <si>
    <t>4.11</t>
  </si>
  <si>
    <t>Panel admina – zarządzanie kampaniami</t>
  </si>
  <si>
    <t>Ekrany: (1) Kampanie (dodaj/edytuj/zakończ), (2) Kierowcy (lista, statusy, km, wypłaty), (3) Reklamodawcy (umowy, faktury), (4) GPS (monitoring aktywności), (5) Alerty (pojazd nieaktywny, problem GPS)</t>
  </si>
  <si>
    <t>⚙️ ADMIN</t>
  </si>
  <si>
    <t>Minimalistyczny – tylko to co potrzeba do operacji</t>
  </si>
  <si>
    <t>✅ AI: spec panelu admina + user stories → Pomoc AI → P-12</t>
  </si>
  <si>
    <t>4.12</t>
  </si>
  <si>
    <t>Konfiguracja bazy danych i hostingu (Supabase)</t>
  </si>
  <si>
    <t>Supabase: PostgreSQL + REST API + Auth + Storage (zdjęcia). Free tier: 500 MB DB, 1 GB storage. Docelowo: Pro plan (~25$/mies.)</t>
  </si>
  <si>
    <t>⚙️ INFRA</t>
  </si>
  <si>
    <t>Schema: vehicles, drivers, campaigns, gps_tracks, advertisers, reports</t>
  </si>
  <si>
    <t>✅ AI: schema bazy danych + SQL setup → Pomoc AI → P-12</t>
  </si>
  <si>
    <t>4.13</t>
  </si>
  <si>
    <t>Testy end-to-end + launch techniczna</t>
  </si>
  <si>
    <t>Scenariusze testów: kierowca jedzie → GPS zapisuje → panel reklamodawcy widzi → raport generuje. UAT z pierwszymi kierowcami. Naprawa bugów. Soft launch</t>
  </si>
  <si>
    <t>⚙️ TESTY</t>
  </si>
  <si>
    <t>Dev + Founder + Justyna</t>
  </si>
  <si>
    <t>KPI Gate: GPS v1 działa + panel kierowcy + panel reklamodawcy online</t>
  </si>
  <si>
    <t>✅ AI: plan testów UAT + checklist → Pomoc AI → P-12</t>
  </si>
  <si>
    <t>🚗 AdRide.pl — FAZA 5: Skalowanie 50 Aut (15.08–23.10.2026)</t>
  </si>
  <si>
    <t>📅 15.08–23.10.2026 | Owner: Founder + Justyna + Dev</t>
  </si>
  <si>
    <t>🎯 KPI GATE: ✅ 50 aktywnych aut | ✅ 5 reklamodawców | ✅ MRR ≥ 100 000 zł | ✅ GPS App v1.1 stabilna | ✅ Stripe Connect automatyczny</t>
  </si>
  <si>
    <t xml:space="preserve">  ▶  📈 SKALOWANIE – POZYSKIWANIE KIEROWCÓW</t>
  </si>
  <si>
    <t>5.01</t>
  </si>
  <si>
    <t>Rekrutacja do 50 aktywnych kierowców</t>
  </si>
  <si>
    <t>Program referral: +100 zł za polecenie aktywowanego kierowcy. Ogłoszenia OLX/Pracuj.pl. Kampania Ads (optymalizacja na CPA z Fazy 2)</t>
  </si>
  <si>
    <t>📈 SKALA</t>
  </si>
  <si>
    <t>31.08.2026</t>
  </si>
  <si>
    <t>Cel: 50 kierowców aktywnych (nie tylko waitinglist)</t>
  </si>
  <si>
    <t>✅ AI: program referral + treść ogłoszeń → Pomoc AI → P-06</t>
  </si>
  <si>
    <t>5.02</t>
  </si>
  <si>
    <t>Rozbuduj sieć foliowni – 2 nowe partnerstwa</t>
  </si>
  <si>
    <t>Przy 50 autach Włodek może być wąskim gardłem. Onboarduj 2 dodatkowe foliownie w Warszawie. Stawki, umowy, workflow</t>
  </si>
  <si>
    <t>Capacity: 1 foliownia = max 15–20 aut/mies. przy pełnych oklejeniach</t>
  </si>
  <si>
    <t>5.03</t>
  </si>
  <si>
    <t>Automatyzacja onboardingu kierowców</t>
  </si>
  <si>
    <t>Zapier/n8n: formularz → weryfikacja → SMS instrukcja → umowa (DocuSign/Autenti) → GPS aktywacja → oklejenie termin. BEZ manualnych kroków</t>
  </si>
  <si>
    <t>Justyna + Dev</t>
  </si>
  <si>
    <t>30.08.2026</t>
  </si>
  <si>
    <t>Przy 50+ kierowcach manual onboarding to za dużo czasu</t>
  </si>
  <si>
    <t>✅ AI: flow automatyzacji n8n dla onboardingu → Pomoc AI → P-10</t>
  </si>
  <si>
    <t xml:space="preserve">  ▶  💼 SPRZEDAŻ B2B – SKALOWANIE</t>
  </si>
  <si>
    <t>5.04</t>
  </si>
  <si>
    <t>Zamknij 5 aktywnych reklamodawców łącznie</t>
  </si>
  <si>
    <t>Cel: min. 5 reklamodawców płacących jednocześnie. MRR z samej prowizji: &gt;60 000 zł</t>
  </si>
  <si>
    <t>💼 B2B</t>
  </si>
  <si>
    <t>30.09.2026</t>
  </si>
  <si>
    <t>5 reklamodawców × avg. 12 000 zł = 60 000 zł MRR (bez oklejenia)</t>
  </si>
  <si>
    <t>✅ AI: pitch deck update + skrypt Belfort v2 → Pomoc AI → P-07</t>
  </si>
  <si>
    <t>5.05</t>
  </si>
  <si>
    <t>LinkedIn content machine – Gary Vee system</t>
  </si>
  <si>
    <t>Tygodniowo: 1 post LinkedIn (edukacja/wyniki), 3 TikTok/Reels, 1 case study lub raport GPS. $1.80 strategy codziennie</t>
  </si>
  <si>
    <t>💼 CONTENT</t>
  </si>
  <si>
    <t>31.10.2026</t>
  </si>
  <si>
    <t>Cel organiczny: 2 inbound leads/tydzień z LinkedIn</t>
  </si>
  <si>
    <t>✅ AI: tygodniowy plan contentu + posty gotowe → Pomoc AI → P-06</t>
  </si>
  <si>
    <t>5.06</t>
  </si>
  <si>
    <t>Uruchom Kalkulator Zasięgu GPS (lead magnet)</t>
  </si>
  <si>
    <t>Narzędzie online: Dzielnica + Liczba aut + Czas → estymowane km, impressions, CPM. Zbiera email → sekwencja 5 emaili (Brunson funnel). Platforma: Webflow Embed lub custom</t>
  </si>
  <si>
    <t>💼 FUNNEL</t>
  </si>
  <si>
    <t>To jest główny lead magnet B2B. SZCZEGÓŁY → GPS App &amp; Panel → G.08</t>
  </si>
  <si>
    <t>✅ AI: kod kalkulatora + sekwencja emaili Brunson → Pomoc AI → P-13, P-07</t>
  </si>
  <si>
    <t>5.07</t>
  </si>
  <si>
    <t>Zbuduj CRM B2B w Pipedrive</t>
  </si>
  <si>
    <t>Migracja z Google Sheets do Pipedrive (pełny CRM). Pipeline: Lead → Contacted → Demo → Proposal → Signed → Active. Automations: follow-up po 3 dniach</t>
  </si>
  <si>
    <t>Pipedrive: $15/mies. Warto przy &gt;20 leadach w pipeline</t>
  </si>
  <si>
    <t>✅ AI: konfiguracja Pipedrive + automations → Pomoc AI → P-09</t>
  </si>
  <si>
    <t xml:space="preserve">  ▶  ⚙️ OPERACJE &amp; FINANSE</t>
  </si>
  <si>
    <t>5.08</t>
  </si>
  <si>
    <t>Wdrożenie Stripe Connect – automatyczne wypłaty</t>
  </si>
  <si>
    <t>Wypłaty miesięczne dla kierowców automatycznie przez Stripe Connect. Prowizja AdRide zatrzymywana automatycznie</t>
  </si>
  <si>
    <t>⚙️ FINANSE</t>
  </si>
  <si>
    <t>Przy 50 kierowcach manual przelewów = niemożliwe</t>
  </si>
  <si>
    <t>5.09</t>
  </si>
  <si>
    <t>Raportowanie MRR / Finanse miesięczne</t>
  </si>
  <si>
    <t>Tracking: MRR, CAC kierowcy, CAC reklamodawcy, marża brutto, czas do break-even. Google Sheets lub Notion Finance</t>
  </si>
  <si>
    <t>Cel: MRR ≥ 100 000 zł do końca Fazy 5</t>
  </si>
  <si>
    <t>✅ AI: szablon dashboardu finansowego → Pomoc AI → P-01, P-03</t>
  </si>
  <si>
    <t>5.10</t>
  </si>
  <si>
    <t>Zatrudnij first hire: Ops Manager lub junior PM</t>
  </si>
  <si>
    <t>Przy 50 autach + 5 reklamodawcach: operacje przekraczają 15h/tyg Founder. Opcja: Justyna na pełen etat lub dodatkowy junior</t>
  </si>
  <si>
    <t>⚙️ ZESPÓŁ</t>
  </si>
  <si>
    <t>Trigger: gdy sam nie możesz dowieźć Fazy 6 bez wsparcia</t>
  </si>
  <si>
    <t>✅ AI: ogłoszenie o pracę + opis stanowiska → Pomoc AI</t>
  </si>
  <si>
    <t>5.11</t>
  </si>
  <si>
    <t>Optymalizacja aplikacji GPS na podstawie feedbacku</t>
  </si>
  <si>
    <t>Zbierz feedback od 50 kierowców: co nie działa, co wolne, co brakuje. Poprawki: UX, battery drain, GPS accuracy</t>
  </si>
  <si>
    <t>⚙️ TECH</t>
  </si>
  <si>
    <t>Aktualizacja v1.1 → v1.2 na podstawie danych z wdrożenia</t>
  </si>
  <si>
    <t>✅ AI: analiza feedbacku + priorytetyzacja → Pomoc AI → P-12</t>
  </si>
  <si>
    <t>5.12</t>
  </si>
  <si>
    <t>Rozbuduj panel reklamodawcy – v2.0</t>
  </si>
  <si>
    <t>Nowe funkcje: porównanie kampanii (vs poprzedni mies.), eksport do CSV, API webhook dla reklamodawców z własnymi systemami, notyfikacje email/SMS</t>
  </si>
  <si>
    <t>Funkcje pro = argument za pakietem SCALE (2497/mies.)</t>
  </si>
  <si>
    <t>✅ AI: spec nowych funkcji v2 → Pomoc AI → P-12</t>
  </si>
  <si>
    <t>5.13</t>
  </si>
  <si>
    <t>Strategia ekspansji na 2. miasto (wstępna)</t>
  </si>
  <si>
    <t>Badanie rynku: Kraków vs Wrocław vs Trójmiasto. Analiza: kierowcy Bolt/Uber, lokalne biznesy, potencjalni partnerzy foliowania. Raport + decyzja</t>
  </si>
  <si>
    <t>⚙️ STRATEGIA</t>
  </si>
  <si>
    <t>Raport = input do Fazy 6 (decyzja: start 2. miasto)</t>
  </si>
  <si>
    <t>✅ AI: analiza rynku 2. miasto + framework decyzji → Pomoc AI → P-02</t>
  </si>
  <si>
    <t>🚗 AdRide.pl — FAZA 6: Break-even 100 Aut (23.10–31.12.2026)</t>
  </si>
  <si>
    <t>📅 23.10–31.12.2026 | Owner: Founder + Justyna + Dev</t>
  </si>
  <si>
    <t>🎯 KPI GATE: ✅ 100 aktywnych aut | ✅ 10 reklamodawców | ✅ Zysk op. ≥ 25 000 zł/mies. | ✅ Start 2. miasto | ✅ GPS App v2.0</t>
  </si>
  <si>
    <t xml:space="preserve">  ▶  🏆 BREAK-EVEN 100 AUT</t>
  </si>
  <si>
    <t>6.01</t>
  </si>
  <si>
    <t>Osiągnij 100 aktywnych aut w Warszawie</t>
  </si>
  <si>
    <t>Podwojenie floty z 50 do 100. Rekrutacja: referral + Ads + content. Nowe partnerstwa foliowni</t>
  </si>
  <si>
    <t>🏆 SKALA</t>
  </si>
  <si>
    <t>Justyna + Founder</t>
  </si>
  <si>
    <t>100 aut × avg. 1000 zł marży = 100 000 zł/mies. marża brutto</t>
  </si>
  <si>
    <t>✅ AI: plan skalowania rekrutacji kierowców → Pomoc AI → P-06</t>
  </si>
  <si>
    <t>6.02</t>
  </si>
  <si>
    <t>10 aktywnych reklamodawców łącznie</t>
  </si>
  <si>
    <t>Skalowanie B2B: dosprzedaż do obecnych + nowi. Pakiety flotowe 3–5 aut dominują. MRR cel: 200 000 zł+</t>
  </si>
  <si>
    <t>🏆 SPRZEDAŻ</t>
  </si>
  <si>
    <t>Break-even AdRide: 100 aut + zysk op. 25 000 zł/mies.</t>
  </si>
  <si>
    <t>✅ AI: strategia upsell do obecnych klientów → Pomoc AI → P-07</t>
  </si>
  <si>
    <t>6.03</t>
  </si>
  <si>
    <t>Zysk operacyjny ≥ 25 000 zł/mies.</t>
  </si>
  <si>
    <t>Przychody – (wypłaty kierowców + foliowanie + ops + marketing + tech). Cel: 25k/mies. zysku operacyjnego</t>
  </si>
  <si>
    <t>🏆 FINANSE</t>
  </si>
  <si>
    <t>Fundament pod rundę inwestycyjną lub ekspansję</t>
  </si>
  <si>
    <t>✅ AI: model P&amp;L projekcja → Pomoc AI → P-01, P-03</t>
  </si>
  <si>
    <t>6.04</t>
  </si>
  <si>
    <t>Start w 2. mieście – Kraków lub Wrocław</t>
  </si>
  <si>
    <t>Na podstawie analizy z Fazy 5: wybierz miasto, onboarduj pierwszych 10 kierowców, znajdź partnera foliowania, zamknij 2 reklamodawców lokalnych</t>
  </si>
  <si>
    <t>🏆 EKSPANSJA</t>
  </si>
  <si>
    <t>2. miasto = proof of concept modelu skalowalnego</t>
  </si>
  <si>
    <t>✅ AI: playbook ekspansji na nowe miasto → Pomoc AI → P-02, P-09</t>
  </si>
  <si>
    <t>6.05</t>
  </si>
  <si>
    <t>GPS App v2.0 – zaawansowany tracking i analytics</t>
  </si>
  <si>
    <t>Nowe funkcje: heatmapy dzielnicowe, eksport danych API, scoring ekspozycji, algorytm doboru kierowców do kampanii (matching engine)</t>
  </si>
  <si>
    <t>🏆 TECH</t>
  </si>
  <si>
    <t>Matching engine = przewaga konkurencyjna przy skalowaniu</t>
  </si>
  <si>
    <t>✅ AI: spec matching engine GPS → Pomoc AI → P-12, P-13</t>
  </si>
  <si>
    <t>6.06</t>
  </si>
  <si>
    <t>Przygotuj materials do rundy seed / inwestorów</t>
  </si>
  <si>
    <t>Pitch deck (update), financial model (12-mies. aktualne), unit economics, ARR/MRR trajectory, team slide, 2-city expansion plan</t>
  </si>
  <si>
    <t>🏆 FUNDRAISING</t>
  </si>
  <si>
    <t>Masz dane GPS = rzadkość wśród pre-seed startupów</t>
  </si>
  <si>
    <t>✅ AI: pitch deck dla inwestorów (Brunson storytelling) → Pomoc AI → P-04</t>
  </si>
  <si>
    <t>6.07</t>
  </si>
  <si>
    <t>Legal: aktualizacja umów dla modelu 2-miejskiego</t>
  </si>
  <si>
    <t>Umowy kierowcy/reklamodawcy: zapis o klauzulach multi-city, aktualizacja DPIA dla 2. bazy danych, regulamin v2.0</t>
  </si>
  <si>
    <t>🏆 LEGAL</t>
  </si>
  <si>
    <t>Przed startem 2. miasta muszą być dokumenty zaktualizowane</t>
  </si>
  <si>
    <t>✅ AI: lista zmian prawnych dla 2. miasta → Pomoc AI → P-11</t>
  </si>
  <si>
    <t>6.08</t>
  </si>
  <si>
    <t>System obsługi klienta – helpdesk reklamodawcy</t>
  </si>
  <si>
    <t>Intercom lub Freshdesk (free tier). FAQ, ticket system, SLA: odpowiedź &lt;4h w dniu roboczym. Przy 10+ reklamodawcach niezbędne</t>
  </si>
  <si>
    <t>🏆 OPS</t>
  </si>
  <si>
    <t>30.11.2026</t>
  </si>
  <si>
    <t>Profesjonalna obsługa = niższy churn reklamodawców</t>
  </si>
  <si>
    <t>✅ AI: FAQ helpdesk + szablony odpowiedzi → Pomoc AI</t>
  </si>
  <si>
    <t>6.09</t>
  </si>
  <si>
    <t>Audit RODO i bezpieczeństwo GPS danych</t>
  </si>
  <si>
    <t>Roczny przegląd: DPIA aktualizacja, test penetracyjny API, szyfrowanie danych GPS w spoczynku i transmisji, logi dostępu</t>
  </si>
  <si>
    <t>🏆 RODO</t>
  </si>
  <si>
    <t>Prawnik + Dev</t>
  </si>
  <si>
    <t>Wymagane przed poważną rundą inwestycyjną</t>
  </si>
  <si>
    <t>✅ AI: checklist audit RODO + bezpieczeństwo GPS → Pomoc AI → P-11</t>
  </si>
  <si>
    <t>6.10</t>
  </si>
  <si>
    <t>Benchmarking i raport roczny AdRide 2026</t>
  </si>
  <si>
    <t>Podsumowanie roku: aktywne auta, MRR, reklamodawcy, km przejechane przez wszystkie kampanie, impressions łącznie, CPM avg.</t>
  </si>
  <si>
    <t>🏆 RAPORT</t>
  </si>
  <si>
    <t>Raport roczny = materiał PR, pitch deck, LinkedIn</t>
  </si>
  <si>
    <t>✅ AI: szablon raportu rocznego + press release → Pomoc AI → P-05</t>
  </si>
  <si>
    <t>6.11</t>
  </si>
  <si>
    <t>Strategia na 2027: Polska A, B, C miasta</t>
  </si>
  <si>
    <t>Plan: Warszawa (100+ aut) + Kraków/Wrocław + 2–3 kolejne miasta. Model franczyzowy vs własny? Decyzja fundamentalna</t>
  </si>
  <si>
    <t>🏆 STRATEGIA</t>
  </si>
  <si>
    <t>Input: wyniki pilotażu 2. miasta + unit economics per city</t>
  </si>
  <si>
    <t>✅ AI: analiza modelu skalowalności + scenariusze 2027 → Pomoc AI → P-02</t>
  </si>
  <si>
    <t>📱 AdRide — GPS App &amp; Panel Reklamodawcy: Specyfikacja Techniczna &amp; Plan Wdrożenia</t>
  </si>
  <si>
    <t>Zakres: Aplikacja mobilna kierowcy (GPS tracking) | Panel reklamodawcy (mapa LIVE, raporty) | Kalkulator Impressions CPM | Integracja Stripe Connect</t>
  </si>
  <si>
    <t>🏗️ SEKCJA 1: ARCHITEKTURA SYSTEMU — Przegląd</t>
  </si>
  <si>
    <t xml:space="preserve">KOMPONENTY SYSTEMU:
[1] MOBILE APP (kierowca) — React Native + Expo
    • GPS tracking w tle (background location)  • Dashboard: km/zarobki/kampania  • Zdjęcia dowodowe (geotag)  • Pauza "tryb prywatny"
[2] WEB DASHBOARD (reklamodawca) — Next.js + Tailwind
    • Mapa LIVE tras GPS (Mapbox GL JS)  • Raporty: km, impressions, CPM  • Eksport PDF + CSV  • Historia kampanii
[3] ADMIN PANEL — Next.js
    • Zarządzanie kampaniami, kierowcami, fakturami  • Monitoring GPS  • Alerty (pojazd nieaktywny)
[4] BACKEND — Supabase (PostgreSQL + REST API + Auth + Storage)
    • Tabele: vehicles, drivers, campaigns, gps_tracks, advertisers, reports, photos
    • Real-time subscriptions dla mapy LIVE
[5] PŁATNOŚCI — Stripe Connect (Marketplace)
    • Reklamodawca płaci → AdRide potrąca prowizję → auto-wypłata kierowcy
</t>
  </si>
  <si>
    <t>📋 SEKCJA 2: ZADANIA TECHNICZNE — GPS App &amp; Panel (G.01–G.13)</t>
  </si>
  <si>
    <t>OPIS TECHNICZNY</t>
  </si>
  <si>
    <t>MODUŁ</t>
  </si>
  <si>
    <t>LINKI / ZASOBY</t>
  </si>
  <si>
    <t>G.01</t>
  </si>
  <si>
    <t>Wybór stacku + Setup projektu</t>
  </si>
  <si>
    <t>React Native + Expo CLI. Setup: expo init adride-driver, instalacja: expo-location, expo-camera, supabase-js. Konto Apple Developer (99$/rok). Konto Google Play Console (25$). Setup Supabase projekt</t>
  </si>
  <si>
    <t>📱 MOBILE</t>
  </si>
  <si>
    <t>expo.dev/docs | supabase.com/docs</t>
  </si>
  <si>
    <t>✅ AI może napisać: setup projektu Expo, package.json, konfiguracja Supabase. Prompt → P-10, P-12</t>
  </si>
  <si>
    <t>G.02</t>
  </si>
  <si>
    <t>Ekran login + auth kierowcy</t>
  </si>
  <si>
    <t>Supabase Auth: email+hasło lub magic link. Ekran: logo AdRide, pole email, hasło, przycisk Login. Token JWT przechowywany w SecureStore (Expo). Auto-refresh token</t>
  </si>
  <si>
    <t>07.07.2026</t>
  </si>
  <si>
    <t>supabase.com/docs/guides/auth</t>
  </si>
  <si>
    <t>✅ AI może napisać: pełny kod auth screen React Native + Supabase. Prompt → P-12</t>
  </si>
  <si>
    <t>G.03</t>
  </si>
  <si>
    <t>Dashboard kierowcy — główny ekran</t>
  </si>
  <si>
    <t>Widżety: (1) Km tego miesiąca, (2) Zarobki (PLN), (3) Status kampanii (aktywna/nieaktywna), (4) Przycisk PAUZA (tryb prywatny), (5) Lista ostatnich przejazdów. Pull-to-refresh z API</t>
  </si>
  <si>
    <t>react-native-maps | react-native-chart-kit</t>
  </si>
  <si>
    <t>✅ AI może napisać: kod dashboardu + komponenty React Native. Prompt → P-12, P-13</t>
  </si>
  <si>
    <t>G.04</t>
  </si>
  <si>
    <t>Moduł GPS tracking (core)</t>
  </si>
  <si>
    <t>expo-location: startBackgroundLocationUpdatesAsync co 30 sek. Dane: {lat, lon, timestamp, speed, driver_id, campaign_id}. Obliczanie dystansu: formuła Haversine. Upload do Supabase: batch co 5 min (oszczędność baterii). PAUZA: stopBackgroundLocationUpdatesAsync</t>
  </si>
  <si>
    <t>docs.expo.dev/versions/latest/sdk/location/</t>
  </si>
  <si>
    <t>✅ AI może napisać: PEŁNY kod modułu GPS React Native + Expo + Haversine + Supabase upload. To kluczowy moduł — proś AI o gotowy do uruchomienia kod. Prompt → P-10, P-12</t>
  </si>
  <si>
    <t>G.05</t>
  </si>
  <si>
    <t>Moduł zdjęć dowodowych (proof)</t>
  </si>
  <si>
    <t>expo-camera: kierowca robi zdjęcie auta z widoczną reklamą. Metadata: {photo_url, lat, lon, timestamp, driver_id, campaign_id}. Upload: Supabase Storage (bucket: "proofs"). Widok galerii zdjęć w dashboardzie</t>
  </si>
  <si>
    <t>20.07.2026</t>
  </si>
  <si>
    <t>docs.expo.dev/versions/latest/sdk/camera/</t>
  </si>
  <si>
    <t>✅ AI może napisać: moduł camera + upload Supabase Storage + galeria. Prompt → P-12</t>
  </si>
  <si>
    <t>G.06</t>
  </si>
  <si>
    <t>Ekran "Moje trasy" — historia GPS</t>
  </si>
  <si>
    <t>Mapa (react-native-maps lub Mapbox) z narysowanymi liniami tras z danego dnia/miesiąca. Filtr: data. Kolor trasy = kampania. Statystyki: km dzisiaj/tydzień/miesiąc</t>
  </si>
  <si>
    <t>github.com/react-native-maps/react-native-maps</t>
  </si>
  <si>
    <t>✅ AI może napisać: mapa tras z Supabase + Polyline. Prompt → P-12, P-13</t>
  </si>
  <si>
    <t>G.07</t>
  </si>
  <si>
    <t>App Store + Google Play publikacja</t>
  </si>
  <si>
    <t>TestFlight beta (iOS): 90 dni, do 10 000 testerów. Google Play beta: APK upload. Checklist Apple Review: Privacy Policy URL, GPS usage description, background mode entitlements. Screenshoty</t>
  </si>
  <si>
    <t>developer.apple.com/testflight/</t>
  </si>
  <si>
    <t>✅ AI może pomóc: checklist Apple Review, opis aplikacji, Privacy Policy → Pomoc AI → P-11</t>
  </si>
  <si>
    <t>G.08</t>
  </si>
  <si>
    <t>Kalkulator Impressions GPS (algorytm + UI)</t>
  </si>
  <si>
    <t>ALGORYTM: Impressions = km_dzienny × AADT_strefa × współczynnik_widoczności (0.15 dla aut). Dane AADT: GDDKiA API (bezpłatne) lub tabela statyczna dla Warszawy. UI: Next.js form: Dzielnica + Auta + Mies. → wynik: impressions/dzień + CPM. Lead magnet: po obliczeniu → prośba o email</t>
  </si>
  <si>
    <t>gddkia.gov.pl/pl/965 | AADT Warszawa ZDM</t>
  </si>
  <si>
    <t>✅ AI może napisać: PEŁNY algorytm impressions + kod Python/JS + UI formularza. To jest Twój USP. Prompt → P-13</t>
  </si>
  <si>
    <t>G.09</t>
  </si>
  <si>
    <t>Mapa LIVE reklamodawcy (Mapbox)</t>
  </si>
  <si>
    <t>Next.js + Mapbox GL JS. Warstwy: (1) pozycje pojazdów (update co 5 min z Supabase real-time), (2) heat map gęstości tras, (3) poligony dzielnic. Filtr: zakres dat, pojazd. Supabase real-time subscription na tabelę gps_tracks</t>
  </si>
  <si>
    <t>mapbox.com/mapbox-gljs | supabase.com/docs/guides/realtime</t>
  </si>
  <si>
    <t>✅ AI może napisać: integracja Mapbox + Supabase real-time + heat map. Prompt → P-12, P-13</t>
  </si>
  <si>
    <t>G.10</t>
  </si>
  <si>
    <t>Automatyczny raport PDF miesięczny</t>
  </si>
  <si>
    <t>Puppeteer lub jsPDF: generuje PDF z: logo klienta, okres kampanii, km łącznie, mapa screenshot (Mapbox Static API), impressions, CPM, zdjęcia aut, tabela km/dzień. Auto-wysyłka 1-go każdego miesiąca (cron Supabase Edge Functions)</t>
  </si>
  <si>
    <t>05.08.2026</t>
  </si>
  <si>
    <t>pptr.io | mapbox.com/api-documentation/#static-images</t>
  </si>
  <si>
    <t>✅ AI może napisać: szablon PDF + kod Puppeteer + Supabase Edge Function cron. Prompt → P-05, P-12</t>
  </si>
  <si>
    <t>G.11</t>
  </si>
  <si>
    <t>Stripe Connect — setup marketplace</t>
  </si>
  <si>
    <t>Stripe Connect (Standard lub Express accounts). Flow: (1) Reklamodawca płaci → Stripe (charge), (2) AdRide fee zatrzymane automatycznie (application_fee_amount), (3) Reszta → transfer do kierowcy Stripe account. Webhook: payment_intent.succeeded → aktualizacja statusu kampanii w Supabase</t>
  </si>
  <si>
    <t>stripe.com/docs/connect/collect-then-transfer-guide</t>
  </si>
  <si>
    <t>✅ AI może napisać: pełny Stripe Connect setup + webhook handler. Prompt → P-12</t>
  </si>
  <si>
    <t>G.12</t>
  </si>
  <si>
    <t>Algorytm matching kierowca–kampania</t>
  </si>
  <si>
    <t>Dobór kierowcy do kampanii na podstawie: (1) dzielnica bazowa kierowcy, (2) typ auta (segment), (3) miesięczny przebieg, (4) historia płatności (rzetelność). Scoring funkcja: weighted_score = 0.4×dzielnica + 0.3×przebieg + 0.2×reliabilty + 0.1×typ. Implementacja: Python/SQL funkcja w Supabase</t>
  </si>
  <si>
    <t>⚙️ ALGORYTM</t>
  </si>
  <si>
    <t>01.09.2026</t>
  </si>
  <si>
    <t>✅ AI może napisać: scoring function + SQL query. Prompt → P-13</t>
  </si>
  <si>
    <t>G.13</t>
  </si>
  <si>
    <t>Test penetracyjny + security audit GPS API</t>
  </si>
  <si>
    <t>Testy: (1) autoryzacja endpointów API (czy można podejrzeć trasy innych), (2) szyfrowanie danych GPS w spoczynku (AES-256), (3) transmisja HTTPS only, (4) rate limiting API, (5) DPIA update po wdrożeniu</t>
  </si>
  <si>
    <t>⚙️ BEZP.</t>
  </si>
  <si>
    <t>owasp.org/www-project-mobile-security</t>
  </si>
  <si>
    <t>✅ AI może pomóc: checklist security GPS API + pytania dla audytora → Pomoc AI → P-11</t>
  </si>
  <si>
    <t>🔧 SEKCJA 3: TECH STACK — Zalecany dla AdRide MVP</t>
  </si>
  <si>
    <t xml:space="preserve">MOBILE APP:          React Native + Expo (cross-platform iOS + Android)
GPS TRACKING:        expo-location (background) | Haversine distance formula  
MAPY MOBILE:         react-native-maps (OpenStreetMap free) lub Mapbox React Native SDK
AUTH:                Supabase Auth (JWT, magic link, OAuth)
BACKEND/DB:          Supabase (PostgreSQL + REST API + Real-time + Storage + Edge Functions)
WEB PANEL:           Next.js 14 (App Router) + Tailwind CSS + shadcn/ui
MAPY WEB:            Mapbox GL JS (free tier: 50k req/mies.) | Mapbox Static API (raporty)
PDF RAPORTY:         Puppeteer (server-side) lub jsPDF (client-side)
PŁATNOŚCI:           Stripe Connect (marketplace model z automatic payouts)
EMAIL:               Resend.com (darmowy do 3000 emaili/mies.)
HOSTING:             Vercel (Next.js, darmowy) + Supabase (darmowy start)
MONITORING:          Sentry (błędy) + Supabase Logs
KOSZT MIESIĘCZNY MVP (do 50 aut):
  Supabase Pro: ~25 USD/mies. | Mapbox: 0 zł (free tier) | Vercel: 0 zł
  Apple Developer: 99 USD/rok | Stripe: 0.25% + $0.25/payout
  ŁĄCZNIE: ~120–200 zł/mies. (do 50 aut)
</t>
  </si>
  <si>
    <t>📊 SEKCJA 4: ALGORYTM IMPRESSIONS + CPM — Metodologia</t>
  </si>
  <si>
    <t xml:space="preserve">WZÓR IMPRESSIONS DZIENNYCH:
   Impressions_dzienny = km_dzienny × AADT_strefa × współczynnik_widoczności × czas_ekspozycji
PARAMETRY:
   km_dzienny          = dane GPS z aplikacji (rzeczywiste)
   AADT_strefa         = średni ruch dobowy dla danej strefy/dzielnicy (dane GDDKiA + ZDM Warszawa)
                         Centrum Warszawy: ~28 000 pojazdów/dobę na głównych arteriach
                         Dzielnice: ~8 000–15 000 pojazdów/dobę
   współczynnik        = 0.05–0.20 (procent kierowców/pieszych którzy faktycznie zauważają reklamę)
                         Benchmark Wrapify USA: ~0.10 (10%) dla miejskiego ruchu
   czas_ekspozycji     = średni czas obserwacji auta (0.5–3 sek przy prędkości miejskiej)
WZÓR CPM:
   CPM = (koszt_kampanii_miesięczny / impressions_miesięczne) × 1000
PRZYKŁAD KALKULACJI (1 pojazd, Mokotów, 40 km/dzień):
   AADT Mokotów:        12 000 pojazdów/dobę (dane ZDM)
   Impressions/km:      12 000 × 0.10 = 1 200 impressions/km
   Impressions/dzień:   1 200 × 40 km = 48 000 impressions
   Impressions/miesiąc: 48 000 × 22 = 1 056 000 impressions
   Koszt kampanii:      1 997 zł/mies. (oklejenie 497 + prowizja 997 + demontaż/12=50 + inne)
   CPM:                 (1997 / 1 056 000) × 1000 = ~1.89 PLN/1000 impressions
BENCHMARKI RYNKOWE (porównanie):
   Vehicle wraps USA:   $0.35–$0.77 CPM (pełne oklejenie, OAAA data)
   Wrapify avg USA:     $1.78 CPM (2024, 29 rynków)
   Billboard Polska:    12–45 zł CPM
   Facebook Ads PL:     8–25 zł CPM
   → AdRide ~1.89 PLN CPM = najtańsze medium w Polsce
DANE AADT BEZPŁATNE:
   GDDKiA: gddkia.gov.pl/pl/965 (drogi krajowe + ekspresowe)
   ZDM Warszawa: zdm.waw.pl/dane (ulice miejskie Warszawa, xlsx do pobrania)
   OpenStreetMap + Overpass API (szacunki na bazie kategorii dróg)
</t>
  </si>
  <si>
    <t>🤖 AdRide — Pomoc AI: Co może zrobić Perplexity/Claude/GPT dla Twojego projektu</t>
  </si>
  <si>
    <t>Jak używać: Skopiuj prompt z kolumny "PROMPT GOTOWY DO UŻYCIA", wklej do Perplexity lub Claude, uzupełnij zmienne w [nawiasach kwadratowych]</t>
  </si>
  <si>
    <t>ZADANIE / OBSZAR</t>
  </si>
  <si>
    <t>PROMPT GOTOWY DO UŻYCIA</t>
  </si>
  <si>
    <t>CZAS AI (min)</t>
  </si>
  <si>
    <t>P-01</t>
  </si>
  <si>
    <t>Budowa modelu unit economics</t>
  </si>
  <si>
    <t>Jesteś ekspertem finansowym od startupów marketplace. Zbuduj mi model unit economics dla AdRide.pl — platformy reklamy mobilnej w Polsce. Model: reklamodawca płaci za oklejenie auta (jednorazowo) + prowizja miesięczna AdRide. Kierowca dostaje wynagrodzenie miesięczne. Zbuduj tabelę z kolumnami: Scenariusz (10/50/100 aut), Przychód B2B (prowizja), Koszt kierowcy, Koszt oklejenia (amortyzacja), Koszty stałe (ops/marketing/tech), Marża brutto, Break-even. Wersja w PLN.</t>
  </si>
  <si>
    <t>📊 FINANSE</t>
  </si>
  <si>
    <t>P-02</t>
  </si>
  <si>
    <t>Analiza rynku i skalowanie</t>
  </si>
  <si>
    <t>Jesteś ekspertem od skalowania startupów B2B marketplace w Polsce. Przeanalizuj dla AdRide.pl: (1) Potencjał rynku reklamy mobilnej w Polsce (OOH segment), (2) Porównanie konkurencji (oklejanie aut vs billboard vs digital), (3) Strategię ekspansji na 3 pierwsze miasta (Warszawa → Kraków → Wrocław): KPI, zasoby, harmonogram, ryzyka. Format: raport z tabelami.</t>
  </si>
  <si>
    <t>FAZA 5–6</t>
  </si>
  <si>
    <t>📈 STRATEGIA</t>
  </si>
  <si>
    <t>P-03</t>
  </si>
  <si>
    <t>Kalkulator break-even AdRide</t>
  </si>
  <si>
    <t>Zbuduj kalkulator break-even dla AdRide w Google Sheets. Założenia: Stałe koszty miesięczne: [wymień swoje koszty]. Zmienne: wynagrodzenie kierowcy [X zł], prowizja AdRide [X% lub zł/mies.], czas do pierwszego przychodu. Pokaż: ile aut/reklamodawców potrzeba do pokrycia stałych kosztów. Wersja tabela + wykres.</t>
  </si>
  <si>
    <t>P-04</t>
  </si>
  <si>
    <t>Deck biznesowy i pitch</t>
  </si>
  <si>
    <t>Jesteś Russellem Brunsonem i Alexem Hormozim. Zbuduj strukturę pitch decku dla AdRide.pl (12–15 slajdów). AdRide to platforma reklamy mobilnej z GPS: kierowcy zarabiają na oklejeniu aut, reklamodawcy płacą za mierzalne km ekspozycji. Rynek: OOH Polska 870 mln PLN. USP: GPS rozliczanie per km (jedyni w Polsce). Dla każdego slajdu daj: tytuł, kluczowe punkty (3 max), sugestię wizualną.</t>
  </si>
  <si>
    <t>P-05</t>
  </si>
  <si>
    <t>Treści marketingowe i copywriting</t>
  </si>
  <si>
    <t>Jesteś Sethem Godinem i Alexem Hormozim. Napisz dla AdRide.pl: (1) Tagline (3 propozycje), (2) One-liner dla reklamodawcy (max 2 zdania), (3) One-liner dla kierowcy, (4) Treść sekcji hero na stronę główną, (5) Treść case study pierwszego klienta (Piotr Gilarski, oklejone auto Warszawa Mokotów, 40 km/dzień, 2 140 km/mies., 480 zł zarobków), (6) Treść raportu miesięcznego PDF dla reklamodawcy (szablon).</t>
  </si>
  <si>
    <t>FAZA 0–3</t>
  </si>
  <si>
    <t>✍️ COPY</t>
  </si>
  <si>
    <t>P-06</t>
  </si>
  <si>
    <t>Strategia contentowa i social media</t>
  </si>
  <si>
    <t>Jesteś Gary Vee. Zbuduj dla AdRide.pl tygodniowy plan contentu na 4 tygodnie: TikTok (3 filmy/tydzień), LinkedIn (2 posty/tydzień), Instagram Reels (2/tydzień), Facebook Grupy (2 posty/tydzień). Dla każdej platformy: format, hook (pierwsze 3 sekundy), treść, CTA. Dwie grupy odbiorców: kierowcy (18–35 lat, Bolt/Uber) i reklamodawcy (właściciele małych firm Warszawa, 30–50 lat). Podaj też 5 konkretnych tytułów filmów TikTok dla AdRide.</t>
  </si>
  <si>
    <t>FAZA 2–5</t>
  </si>
  <si>
    <t>📱 CONTENT</t>
  </si>
  <si>
    <t>P-07</t>
  </si>
  <si>
    <t>Skrypty sprzedażowe i cold outreach</t>
  </si>
  <si>
    <t>Jesteś Jordanem Belfortem. Napisz dla AdRide.pl: (1) Cold email do reklamodawcy (lokalny biznes Warszawa, właściciel restauracji/kliniki/siłowni) — max 150 słów, (2) Follow-up email (dzień 3), (3) Skrypt telefonu cold call (60 sek), (4) Obsługę 5 głównych obiekcji: "za drogo", "muszę pomyśleć", "muszę zapytać wspólnika", "nie wiem czy to działa", "mam agencję", (5) 3 techniki zamknięcia sprzedaży (assumptive/alternative/summary close).</t>
  </si>
  <si>
    <t>FAZA 1–5</t>
  </si>
  <si>
    <t>📞 SPRZEDAŻ</t>
  </si>
  <si>
    <t>P-08</t>
  </si>
  <si>
    <t>CRM i prospecting B2B</t>
  </si>
  <si>
    <t>Zaprojektuj dla AdRide.pl: (1) Strukturę CRM w Google Sheets (kolumny, statusy pipeline, automations z Zapier), (2) Listę 20 typów firm w Warszawie które są idealnym klientem AdRide (branża, przykładowe firmy, dlaczego pasują), (3) Prompt do Apollo.io: jak filtrować firmy po branży/rozmiarze/lokalizacji, (4) Szablon personalizacji cold emaila dla 5 różnych branż.</t>
  </si>
  <si>
    <t>📋 CRM</t>
  </si>
  <si>
    <t>P-09</t>
  </si>
  <si>
    <t>Procesy operacyjne i automatyzacja</t>
  </si>
  <si>
    <t>Jesteś ekspertem operacyjnym i znasz n8n. Zaprojektuj dla AdRide.pl automatyzacje: (1) Onboarding nowego kierowcy: formularz → weryfikacja → SMS → umowa (Autenti/DocuSign) → GPS aktywacja → termin oklejenia. Narzędzie: n8n. (2) Miesięczne rozliczenie: sumowanie km z GPS → kalkulacja wypłaty → przelew Stripe → PDF raport → email do reklamodawcy. Podaj flow n8n z węzłami i opisem każdego kroku.</t>
  </si>
  <si>
    <t>FAZA 0–5</t>
  </si>
  <si>
    <t>⚙️ OPS/AUTO</t>
  </si>
  <si>
    <t>P-10</t>
  </si>
  <si>
    <t>Specyfikacja techniczna aplikacji GPS</t>
  </si>
  <si>
    <t>Jesteś senior mobile developerem. Napisz specyfikację techniczną aplikacji GPS dla kierowcy AdRide: (1) Tech stack: React Native + Expo, (2) Lista wszystkich ekranów z opisem funkcji, (3) Architektura modułu GPS: background location, interval tracking, Haversine distance, upload do Supabase, tryb prywatny (pauza), (4) Wymagania: iOS 14+ / Android 8+, background mode, battery optimization, (5) Schemat bazy danych: tabele i relacje. Format: spec techniczna gotowa dla developera.</t>
  </si>
  <si>
    <t>📱 GPS TECH</t>
  </si>
  <si>
    <t>P-11</t>
  </si>
  <si>
    <t>Dokumenty prawne i RODO</t>
  </si>
  <si>
    <t>Jesteś radcą prawnym specjalizującym się w prawie IT i e-commerce w Polsce. Przygotuj dla AdRide.pl: (1) Checklist weryfikacji prawnej modelu biznesowego (reklama na prywatnych autach + GPS tracking), (2) Kluczowe zapisy do umowy z kierowcą (RODO GPS, kara umowna, zakaz zdejmowania folii), (3) Kluczowe zapisy do umowy z reklamodawcą, (4) Lista punktów do sprawdzenia z ubezpieczycielem (OC/AC + oklejenie komercyjne), (5) Klauzula zgody na GPS tracking zgodna z RODO art. 6 i art. 9.</t>
  </si>
  <si>
    <t>P-12</t>
  </si>
  <si>
    <t>Kod aplikacji i panelu (programowanie)</t>
  </si>
  <si>
    <t>Jesteś senior full-stack developerem znającym React Native, Next.js, Supabase i Stripe Connect. Napisz [WYBIERZ JEDEN]: (A) Pełny kod modułu GPS tracking w React Native + Expo (background location + upload Supabase + Haversine), (B) Komponent mapy Mapbox w Next.js z real-time trasami z Supabase, (C) Setup Stripe Connect Marketplace (charge + fee + payout), (D) Schemat bazy Supabase + Row Level Security dla GPS, (E) Edge Function cron do generowania raportu PDF. Kod powinien być gotowy do uruchomienia, z komentarzami PL.</t>
  </si>
  <si>
    <t>💻 KOD</t>
  </si>
  <si>
    <t>P-13</t>
  </si>
  <si>
    <t>Algorytm impressions i kalkulator CPM</t>
  </si>
  <si>
    <t>Jesteś ekspertem od mierzenia efektywności reklamy OOH i data scientist. Zbuduj algorytm dla AdRide: WEJŚCIE: dane GPS (lat/lon/timestamp dla trasy), dane AADT (natężenie ruchu per strefa Warszawy). WYJŚCIE: (1) Liczba dziennych impressions dla danej trasy, (2) Miesięczne impressions łącznie, (3) CPM (koszt na 1000 impressions), (4) Mapa heatmap ekspozycji po dzielnicach. Implementacja: Python + pandas. Podaj też: skąd bezpłatnie pobrać dane AADT dla Warszawy (GDDKiA, ZDM).</t>
  </si>
  <si>
    <t>FAZA 0, 4–5</t>
  </si>
  <si>
    <t>📊 ALGORYTM</t>
  </si>
  <si>
    <t>P-14</t>
  </si>
  <si>
    <t>Fundraising i inwestorzy</t>
  </si>
  <si>
    <t>Jesteś Russellem Brunsonem i YC Partner. Pomóż mi przygotować AdRide do pozyskania inwestora seed: (1) Jakie KPI są kluczowe dla inwestora (MRR, NPS, churn, unit economics), (2) Jak wycenić AdRide przed rundą (comparable multiples dla OOH + marketplace), (3) Struktura pitch dla anioła biznesu vs VC (różnice), (4) Top 5 pytań trudnych od inwestora i odpowiedzi, (5) Template cold email do VC/anioła biznesu. Kontekst: AdRide ma [X] aktywnych aut, [X] reklamodawców, MRR [X] PLN.</t>
  </si>
  <si>
    <t>💰 FUNDRAISING</t>
  </si>
  <si>
    <t>Platforma reklamy mobilnej GPS | Warszawa → Polska | Owner: Andrzej: Founder + Justyna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</si>
</sst>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FFFFFF"/>
      <name val="Calibri"/>
    </font>
    <font>
      <b/>
      <sz val="9"/>
      <color rgb="FF7B3F00"/>
      <name val="Calibri"/>
    </font>
    <font>
      <b/>
      <sz val="10"/>
      <color rgb="FFFFFFFF"/>
      <name val="Calibri"/>
    </font>
    <font>
      <b/>
      <sz val="9"/>
      <color rgb="FF1F3864"/>
      <name val="Calibri"/>
    </font>
    <font>
      <b/>
      <sz val="10"/>
      <name val="Calibri"/>
    </font>
    <font>
      <sz val="9"/>
      <name val="Calibri"/>
    </font>
    <font>
      <b/>
      <sz val="9"/>
      <name val="Calibri"/>
    </font>
    <font>
      <sz val="9"/>
      <color rgb="FF0563C1"/>
      <name val="Calibri"/>
    </font>
    <font>
      <sz val="10"/>
      <name val="Calibri"/>
    </font>
    <font>
      <sz val="9"/>
      <color rgb="FF1B5E20"/>
      <name val="Calibri"/>
    </font>
    <font>
      <b/>
      <sz val="12"/>
      <color rgb="FFFFFFFF"/>
      <name val="Calibri"/>
    </font>
    <font>
      <sz val="9"/>
      <color rgb="FF000000"/>
      <name val="Calibri"/>
    </font>
    <font>
      <b/>
      <sz val="9"/>
      <color rgb="FF0D47A1"/>
      <name val="Calibri"/>
    </font>
    <font>
      <b/>
      <sz val="9"/>
      <color rgb="FF1B5E20"/>
      <name val="Calibri"/>
    </font>
    <font>
      <sz val="9"/>
      <color rgb="FF1A237E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9"/>
      <color rgb="FF000000"/>
      <name val="Calibri"/>
    </font>
    <font>
      <b/>
      <sz val="10"/>
      <color rgb="FFE65100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FFF9C4"/>
      </patternFill>
    </fill>
    <fill>
      <patternFill patternType="solid">
        <fgColor rgb="FF2E7D32"/>
      </patternFill>
    </fill>
    <fill>
      <patternFill patternType="solid">
        <fgColor rgb="FF4A6FA5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F5F8FF"/>
      </patternFill>
    </fill>
    <fill>
      <patternFill patternType="solid">
        <fgColor rgb="FF0D47A1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1E88E5"/>
      </patternFill>
    </fill>
    <fill>
      <patternFill patternType="solid">
        <fgColor rgb="FFF0F4FF"/>
      </patternFill>
    </fill>
    <fill>
      <patternFill patternType="solid">
        <fgColor rgb="FF1B5E20"/>
      </patternFill>
    </fill>
    <fill>
      <patternFill patternType="solid">
        <fgColor rgb="FF43A047"/>
      </patternFill>
    </fill>
    <fill>
      <patternFill patternType="solid">
        <fgColor rgb="FFEEF2FF"/>
      </patternFill>
    </fill>
    <fill>
      <patternFill patternType="solid">
        <fgColor rgb="FFF8FAFF"/>
      </patternFill>
    </fill>
    <fill>
      <patternFill patternType="solid">
        <fgColor rgb="FF455A64"/>
      </patternFill>
    </fill>
    <fill>
      <patternFill patternType="solid">
        <fgColor rgb="FFECEFF1"/>
      </patternFill>
    </fill>
    <fill>
      <patternFill patternType="solid">
        <fgColor rgb="FFFFEBEE"/>
      </patternFill>
    </fill>
    <fill>
      <patternFill patternType="solid">
        <fgColor rgb="FFF5F5F5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4" fillId="15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left" vertical="top" wrapText="1"/>
    </xf>
    <xf numFmtId="0" fontId="7" fillId="20" borderId="1" xfId="0" applyFont="1" applyFill="1" applyBorder="1" applyAlignment="1">
      <alignment horizontal="left" vertical="top" wrapText="1"/>
    </xf>
    <xf numFmtId="0" fontId="19" fillId="20" borderId="1" xfId="0" applyFont="1" applyFill="1" applyBorder="1" applyAlignment="1">
      <alignment horizontal="center" vertical="top" wrapText="1"/>
    </xf>
    <xf numFmtId="0" fontId="14" fillId="10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19" fillId="10" borderId="1" xfId="0" applyFont="1" applyFill="1" applyBorder="1" applyAlignment="1">
      <alignment horizontal="center" vertical="top" wrapText="1"/>
    </xf>
    <xf numFmtId="0" fontId="15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15" fillId="8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9" fontId="10" fillId="11" borderId="1" xfId="0" applyNumberFormat="1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9" fontId="10" fillId="10" borderId="1" xfId="0" applyNumberFormat="1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10" fillId="10" borderId="0" xfId="0" applyFont="1" applyFill="1" applyAlignment="1">
      <alignment vertical="top" wrapText="1"/>
    </xf>
    <xf numFmtId="0" fontId="10" fillId="9" borderId="0" xfId="0" applyFont="1" applyFill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10" fillId="23" borderId="0" xfId="0" applyFont="1" applyFill="1" applyAlignment="1">
      <alignment vertical="top" wrapText="1"/>
    </xf>
    <xf numFmtId="0" fontId="10" fillId="24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top"/>
    </xf>
    <xf numFmtId="0" fontId="6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top"/>
    </xf>
    <xf numFmtId="0" fontId="7" fillId="7" borderId="1" xfId="0" applyFont="1" applyFill="1" applyBorder="1" applyAlignment="1">
      <alignment horizontal="center" vertical="top"/>
    </xf>
    <xf numFmtId="0" fontId="9" fillId="7" borderId="1" xfId="0" applyFont="1" applyFill="1" applyBorder="1" applyAlignment="1">
      <alignment vertical="top" wrapText="1"/>
    </xf>
    <xf numFmtId="3" fontId="10" fillId="7" borderId="1" xfId="0" applyNumberFormat="1" applyFont="1" applyFill="1" applyBorder="1" applyAlignment="1">
      <alignment horizontal="center" vertical="top"/>
    </xf>
    <xf numFmtId="0" fontId="11" fillId="8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top"/>
    </xf>
    <xf numFmtId="0" fontId="6" fillId="9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/>
    </xf>
    <xf numFmtId="0" fontId="7" fillId="9" borderId="1" xfId="0" applyFont="1" applyFill="1" applyBorder="1" applyAlignment="1">
      <alignment horizontal="center" vertical="top"/>
    </xf>
    <xf numFmtId="0" fontId="9" fillId="9" borderId="1" xfId="0" applyFont="1" applyFill="1" applyBorder="1" applyAlignment="1">
      <alignment vertical="top" wrapText="1"/>
    </xf>
    <xf numFmtId="3" fontId="10" fillId="9" borderId="1" xfId="0" applyNumberFormat="1" applyFont="1" applyFill="1" applyBorder="1" applyAlignment="1">
      <alignment horizontal="center" vertical="top"/>
    </xf>
    <xf numFmtId="0" fontId="5" fillId="10" borderId="1" xfId="0" applyFont="1" applyFill="1" applyBorder="1" applyAlignment="1">
      <alignment horizontal="center" vertical="top"/>
    </xf>
    <xf numFmtId="0" fontId="6" fillId="10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horizontal="center" vertical="top" wrapText="1"/>
    </xf>
    <xf numFmtId="0" fontId="8" fillId="10" borderId="1" xfId="0" applyFont="1" applyFill="1" applyBorder="1" applyAlignment="1">
      <alignment horizontal="center" vertical="top"/>
    </xf>
    <xf numFmtId="0" fontId="7" fillId="10" borderId="1" xfId="0" applyFont="1" applyFill="1" applyBorder="1" applyAlignment="1">
      <alignment horizontal="center" vertical="top"/>
    </xf>
    <xf numFmtId="0" fontId="9" fillId="10" borderId="1" xfId="0" applyFont="1" applyFill="1" applyBorder="1" applyAlignment="1">
      <alignment vertical="top" wrapText="1"/>
    </xf>
    <xf numFmtId="3" fontId="10" fillId="10" borderId="1" xfId="0" applyNumberFormat="1" applyFont="1" applyFill="1" applyBorder="1" applyAlignment="1">
      <alignment horizontal="center" vertical="top"/>
    </xf>
    <xf numFmtId="0" fontId="5" fillId="11" borderId="1" xfId="0" applyFont="1" applyFill="1" applyBorder="1" applyAlignment="1">
      <alignment horizontal="center" vertical="top"/>
    </xf>
    <xf numFmtId="0" fontId="6" fillId="11" borderId="1" xfId="0" applyFont="1" applyFill="1" applyBorder="1" applyAlignment="1">
      <alignment vertical="top" wrapText="1"/>
    </xf>
    <xf numFmtId="0" fontId="7" fillId="11" borderId="1" xfId="0" applyFont="1" applyFill="1" applyBorder="1" applyAlignment="1">
      <alignment vertical="top" wrapText="1"/>
    </xf>
    <xf numFmtId="0" fontId="7" fillId="11" borderId="1" xfId="0" applyFont="1" applyFill="1" applyBorder="1" applyAlignment="1">
      <alignment horizontal="center" vertical="top" wrapText="1"/>
    </xf>
    <xf numFmtId="0" fontId="8" fillId="11" borderId="1" xfId="0" applyFont="1" applyFill="1" applyBorder="1" applyAlignment="1">
      <alignment horizontal="center" vertical="top"/>
    </xf>
    <xf numFmtId="0" fontId="7" fillId="11" borderId="1" xfId="0" applyFont="1" applyFill="1" applyBorder="1" applyAlignment="1">
      <alignment horizontal="center" vertical="top"/>
    </xf>
    <xf numFmtId="0" fontId="9" fillId="11" borderId="1" xfId="0" applyFont="1" applyFill="1" applyBorder="1" applyAlignment="1">
      <alignment vertical="top" wrapText="1"/>
    </xf>
    <xf numFmtId="3" fontId="10" fillId="11" borderId="1" xfId="0" applyNumberFormat="1" applyFont="1" applyFill="1" applyBorder="1" applyAlignment="1">
      <alignment horizontal="center" vertical="top"/>
    </xf>
    <xf numFmtId="0" fontId="4" fillId="15" borderId="0" xfId="0" applyFont="1" applyFill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vertical="top" wrapText="1"/>
    </xf>
    <xf numFmtId="0" fontId="10" fillId="11" borderId="1" xfId="0" applyFont="1" applyFill="1" applyBorder="1" applyAlignment="1">
      <alignment horizontal="center" vertical="top"/>
    </xf>
    <xf numFmtId="0" fontId="14" fillId="10" borderId="1" xfId="0" applyFont="1" applyFill="1" applyBorder="1" applyAlignment="1">
      <alignment horizontal="center" vertical="top"/>
    </xf>
    <xf numFmtId="0" fontId="8" fillId="10" borderId="1" xfId="0" applyFont="1" applyFill="1" applyBorder="1" applyAlignment="1">
      <alignment vertical="top" wrapText="1"/>
    </xf>
    <xf numFmtId="0" fontId="10" fillId="10" borderId="1" xfId="0" applyFont="1" applyFill="1" applyBorder="1" applyAlignment="1">
      <alignment horizontal="center" vertical="top"/>
    </xf>
    <xf numFmtId="0" fontId="4" fillId="1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top"/>
    </xf>
    <xf numFmtId="0" fontId="8" fillId="8" borderId="1" xfId="0" applyFont="1" applyFill="1" applyBorder="1" applyAlignment="1">
      <alignment horizontal="left" vertical="top" wrapText="1"/>
    </xf>
    <xf numFmtId="0" fontId="16" fillId="19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top"/>
    </xf>
    <xf numFmtId="0" fontId="6" fillId="8" borderId="1" xfId="0" applyFont="1" applyFill="1" applyBorder="1" applyAlignment="1">
      <alignment horizontal="center" vertical="top"/>
    </xf>
    <xf numFmtId="0" fontId="15" fillId="10" borderId="1" xfId="0" applyFont="1" applyFill="1" applyBorder="1" applyAlignment="1">
      <alignment horizontal="center" vertical="top"/>
    </xf>
    <xf numFmtId="0" fontId="8" fillId="10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center" vertical="top"/>
    </xf>
    <xf numFmtId="0" fontId="13" fillId="22" borderId="0" xfId="0" applyFont="1" applyFill="1" applyAlignment="1">
      <alignment horizontal="left" vertical="top" wrapText="1"/>
    </xf>
    <xf numFmtId="0" fontId="0" fillId="0" borderId="0" xfId="0"/>
    <xf numFmtId="0" fontId="17" fillId="2" borderId="0" xfId="0" applyFont="1" applyFill="1" applyAlignment="1">
      <alignment horizontal="left" vertical="center" wrapText="1"/>
    </xf>
    <xf numFmtId="0" fontId="18" fillId="13" borderId="0" xfId="0" applyFont="1" applyFill="1" applyAlignment="1">
      <alignment horizontal="left" vertical="center" wrapText="1"/>
    </xf>
    <xf numFmtId="0" fontId="13" fillId="16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center" wrapText="1"/>
    </xf>
    <xf numFmtId="0" fontId="18" fillId="21" borderId="0" xfId="0" applyFont="1" applyFill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7" fillId="10" borderId="1" xfId="0" applyFont="1" applyFill="1" applyBorder="1" applyAlignment="1">
      <alignment horizontal="left" vertical="center" wrapText="1"/>
    </xf>
    <xf numFmtId="0" fontId="18" fillId="1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1" fillId="12" borderId="0" xfId="0" applyFont="1" applyFill="1" applyAlignment="1">
      <alignment horizontal="left" vertical="center"/>
    </xf>
    <xf numFmtId="0" fontId="12" fillId="12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top" wrapText="1"/>
    </xf>
    <xf numFmtId="0" fontId="13" fillId="14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vertical="center"/>
    </xf>
    <xf numFmtId="0" fontId="1" fillId="17" borderId="0" xfId="0" applyFont="1" applyFill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3"/>
  <sheetViews>
    <sheetView topLeftCell="A14" workbookViewId="0">
      <selection activeCell="B5" sqref="B5:E5"/>
    </sheetView>
  </sheetViews>
  <sheetFormatPr defaultRowHeight="15" x14ac:dyDescent="0.25"/>
  <cols>
    <col min="1" max="1" width="3" customWidth="1"/>
    <col min="2" max="2" width="22" customWidth="1"/>
    <col min="3" max="3" width="60" customWidth="1"/>
    <col min="4" max="5" width="18" customWidth="1"/>
  </cols>
  <sheetData>
    <row r="1" spans="2:5" ht="32.1" customHeight="1" x14ac:dyDescent="0.25">
      <c r="B1" s="86" t="s">
        <v>0</v>
      </c>
      <c r="C1" s="85"/>
      <c r="D1" s="85"/>
      <c r="E1" s="85"/>
    </row>
    <row r="2" spans="2:5" ht="18" customHeight="1" x14ac:dyDescent="0.25">
      <c r="B2" s="89" t="s">
        <v>957</v>
      </c>
      <c r="C2" s="85"/>
      <c r="D2" s="85"/>
      <c r="E2" s="85"/>
    </row>
    <row r="4" spans="2:5" ht="21.95" customHeight="1" x14ac:dyDescent="0.25">
      <c r="B4" s="87" t="s">
        <v>1</v>
      </c>
      <c r="C4" s="85"/>
      <c r="D4" s="85"/>
      <c r="E4" s="85"/>
    </row>
    <row r="5" spans="2:5" ht="144.94999999999999" customHeight="1" x14ac:dyDescent="0.25">
      <c r="B5" s="88" t="s">
        <v>2</v>
      </c>
      <c r="C5" s="85"/>
      <c r="D5" s="85"/>
      <c r="E5" s="85"/>
    </row>
    <row r="7" spans="2:5" ht="21.95" customHeight="1" x14ac:dyDescent="0.25">
      <c r="B7" s="87" t="s">
        <v>3</v>
      </c>
      <c r="C7" s="85"/>
      <c r="D7" s="85"/>
      <c r="E7" s="85"/>
    </row>
    <row r="8" spans="2:5" ht="20.100000000000001" customHeight="1" x14ac:dyDescent="0.25">
      <c r="B8" s="1" t="s">
        <v>4</v>
      </c>
      <c r="C8" s="1" t="s">
        <v>5</v>
      </c>
      <c r="D8" s="1" t="s">
        <v>6</v>
      </c>
    </row>
    <row r="9" spans="2:5" ht="45" customHeight="1" x14ac:dyDescent="0.25">
      <c r="B9" s="2" t="s">
        <v>7</v>
      </c>
      <c r="C9" s="3" t="s">
        <v>8</v>
      </c>
      <c r="D9" s="4" t="s">
        <v>9</v>
      </c>
    </row>
    <row r="10" spans="2:5" ht="45" customHeight="1" x14ac:dyDescent="0.25">
      <c r="B10" s="5" t="s">
        <v>10</v>
      </c>
      <c r="C10" s="6" t="s">
        <v>11</v>
      </c>
      <c r="D10" s="7" t="s">
        <v>9</v>
      </c>
    </row>
    <row r="11" spans="2:5" ht="45" customHeight="1" x14ac:dyDescent="0.25">
      <c r="B11" s="2" t="s">
        <v>12</v>
      </c>
      <c r="C11" s="3" t="s">
        <v>13</v>
      </c>
      <c r="D11" s="4" t="s">
        <v>9</v>
      </c>
    </row>
    <row r="12" spans="2:5" ht="45" customHeight="1" x14ac:dyDescent="0.25">
      <c r="B12" s="5" t="s">
        <v>14</v>
      </c>
      <c r="C12" s="6" t="s">
        <v>15</v>
      </c>
      <c r="D12" s="7" t="s">
        <v>16</v>
      </c>
    </row>
    <row r="13" spans="2:5" ht="45" customHeight="1" x14ac:dyDescent="0.25">
      <c r="B13" s="2" t="s">
        <v>17</v>
      </c>
      <c r="C13" s="3" t="s">
        <v>18</v>
      </c>
      <c r="D13" s="4" t="s">
        <v>16</v>
      </c>
    </row>
    <row r="14" spans="2:5" ht="45" customHeight="1" x14ac:dyDescent="0.25">
      <c r="B14" s="5" t="s">
        <v>19</v>
      </c>
      <c r="C14" s="6" t="s">
        <v>20</v>
      </c>
      <c r="D14" s="7" t="s">
        <v>21</v>
      </c>
    </row>
    <row r="15" spans="2:5" ht="45" customHeight="1" x14ac:dyDescent="0.25">
      <c r="B15" s="2" t="s">
        <v>22</v>
      </c>
      <c r="C15" s="3" t="s">
        <v>23</v>
      </c>
      <c r="D15" s="4" t="s">
        <v>21</v>
      </c>
    </row>
    <row r="16" spans="2:5" ht="45" customHeight="1" x14ac:dyDescent="0.25">
      <c r="B16" s="5" t="s">
        <v>24</v>
      </c>
      <c r="C16" s="6" t="s">
        <v>25</v>
      </c>
      <c r="D16" s="7" t="s">
        <v>21</v>
      </c>
    </row>
    <row r="17" spans="2:5" ht="45" customHeight="1" x14ac:dyDescent="0.25">
      <c r="B17" s="2" t="s">
        <v>26</v>
      </c>
      <c r="C17" s="3" t="s">
        <v>27</v>
      </c>
      <c r="D17" s="4" t="s">
        <v>21</v>
      </c>
    </row>
    <row r="18" spans="2:5" ht="45" customHeight="1" x14ac:dyDescent="0.25">
      <c r="B18" s="5" t="s">
        <v>28</v>
      </c>
      <c r="C18" s="6" t="s">
        <v>29</v>
      </c>
      <c r="D18" s="7" t="s">
        <v>21</v>
      </c>
    </row>
    <row r="19" spans="2:5" ht="45" customHeight="1" x14ac:dyDescent="0.25">
      <c r="B19" s="8" t="s">
        <v>30</v>
      </c>
      <c r="C19" s="9" t="s">
        <v>31</v>
      </c>
      <c r="D19" s="10" t="s">
        <v>32</v>
      </c>
    </row>
    <row r="20" spans="2:5" ht="45" customHeight="1" x14ac:dyDescent="0.25">
      <c r="B20" s="8" t="s">
        <v>33</v>
      </c>
      <c r="C20" s="9" t="s">
        <v>34</v>
      </c>
      <c r="D20" s="10" t="s">
        <v>32</v>
      </c>
    </row>
    <row r="22" spans="2:5" ht="21.95" customHeight="1" x14ac:dyDescent="0.25">
      <c r="B22" s="90" t="s">
        <v>35</v>
      </c>
      <c r="C22" s="85"/>
      <c r="D22" s="85"/>
      <c r="E22" s="85"/>
    </row>
    <row r="23" spans="2:5" ht="84.95" customHeight="1" x14ac:dyDescent="0.25">
      <c r="B23" s="84" t="s">
        <v>36</v>
      </c>
      <c r="C23" s="85"/>
      <c r="D23" s="85"/>
      <c r="E23" s="85"/>
    </row>
  </sheetData>
  <mergeCells count="7">
    <mergeCell ref="B23:E23"/>
    <mergeCell ref="B1:E1"/>
    <mergeCell ref="B4:E4"/>
    <mergeCell ref="B7:E7"/>
    <mergeCell ref="B5:E5"/>
    <mergeCell ref="B2:E2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3"/>
  <sheetViews>
    <sheetView workbookViewId="0"/>
  </sheetViews>
  <sheetFormatPr defaultRowHeight="15" x14ac:dyDescent="0.25"/>
  <cols>
    <col min="1" max="1" width="3" customWidth="1"/>
    <col min="2" max="2" width="12" customWidth="1"/>
    <col min="3" max="3" width="28" customWidth="1"/>
    <col min="4" max="5" width="14" customWidth="1"/>
    <col min="6" max="7" width="10" customWidth="1"/>
    <col min="8" max="9" width="14" customWidth="1"/>
  </cols>
  <sheetData>
    <row r="1" spans="2:9" ht="27.95" customHeight="1" x14ac:dyDescent="0.25">
      <c r="B1" s="97" t="s">
        <v>37</v>
      </c>
      <c r="C1" s="85"/>
      <c r="D1" s="85"/>
      <c r="E1" s="85"/>
      <c r="F1" s="85"/>
      <c r="G1" s="85"/>
      <c r="H1" s="85"/>
      <c r="I1" s="85"/>
    </row>
    <row r="2" spans="2:9" ht="15.95" customHeight="1" x14ac:dyDescent="0.25">
      <c r="B2" s="96" t="s">
        <v>38</v>
      </c>
      <c r="C2" s="85"/>
      <c r="D2" s="85"/>
      <c r="E2" s="85"/>
      <c r="F2" s="85"/>
      <c r="G2" s="85"/>
      <c r="H2" s="85"/>
      <c r="I2" s="85"/>
    </row>
    <row r="4" spans="2:9" ht="20.100000000000001" customHeight="1" x14ac:dyDescent="0.25">
      <c r="B4" s="95" t="s">
        <v>39</v>
      </c>
      <c r="C4" s="85"/>
      <c r="D4" s="85"/>
      <c r="E4" s="85"/>
      <c r="F4" s="85"/>
      <c r="G4" s="85"/>
      <c r="H4" s="85"/>
      <c r="I4" s="85"/>
    </row>
    <row r="5" spans="2:9" ht="20.100000000000001" customHeight="1" x14ac:dyDescent="0.25">
      <c r="B5" s="11" t="s">
        <v>40</v>
      </c>
      <c r="C5" s="11" t="s">
        <v>41</v>
      </c>
      <c r="D5" s="11" t="s">
        <v>42</v>
      </c>
      <c r="E5" s="11" t="s">
        <v>43</v>
      </c>
      <c r="F5" s="11" t="s">
        <v>44</v>
      </c>
      <c r="G5" s="11" t="s">
        <v>45</v>
      </c>
      <c r="H5" s="11" t="s">
        <v>46</v>
      </c>
      <c r="I5" s="11" t="s">
        <v>6</v>
      </c>
    </row>
    <row r="6" spans="2:9" ht="18" customHeight="1" x14ac:dyDescent="0.25">
      <c r="B6" s="12" t="s">
        <v>47</v>
      </c>
      <c r="C6" s="13" t="s">
        <v>48</v>
      </c>
      <c r="D6" s="14" t="s">
        <v>49</v>
      </c>
      <c r="E6" s="14" t="s">
        <v>50</v>
      </c>
      <c r="F6" s="14">
        <v>21</v>
      </c>
      <c r="G6" s="14">
        <v>8</v>
      </c>
      <c r="H6" s="15">
        <f t="shared" ref="H6:H12" si="0">G6/F6</f>
        <v>0.38095238095238093</v>
      </c>
      <c r="I6" s="16" t="s">
        <v>51</v>
      </c>
    </row>
    <row r="7" spans="2:9" ht="18" customHeight="1" x14ac:dyDescent="0.25">
      <c r="B7" s="17" t="s">
        <v>52</v>
      </c>
      <c r="C7" s="18" t="s">
        <v>53</v>
      </c>
      <c r="D7" s="19" t="s">
        <v>50</v>
      </c>
      <c r="E7" s="19" t="s">
        <v>54</v>
      </c>
      <c r="F7" s="19">
        <v>17</v>
      </c>
      <c r="G7" s="19">
        <v>5</v>
      </c>
      <c r="H7" s="20">
        <f t="shared" si="0"/>
        <v>0.29411764705882354</v>
      </c>
      <c r="I7" s="21" t="s">
        <v>51</v>
      </c>
    </row>
    <row r="8" spans="2:9" ht="18" customHeight="1" x14ac:dyDescent="0.25">
      <c r="B8" s="12" t="s">
        <v>55</v>
      </c>
      <c r="C8" s="13" t="s">
        <v>56</v>
      </c>
      <c r="D8" s="14" t="s">
        <v>54</v>
      </c>
      <c r="E8" s="14" t="s">
        <v>57</v>
      </c>
      <c r="F8" s="14">
        <v>17</v>
      </c>
      <c r="G8" s="14">
        <v>0</v>
      </c>
      <c r="H8" s="15">
        <f t="shared" si="0"/>
        <v>0</v>
      </c>
      <c r="I8" s="14" t="s">
        <v>58</v>
      </c>
    </row>
    <row r="9" spans="2:9" ht="18" customHeight="1" x14ac:dyDescent="0.25">
      <c r="B9" s="17" t="s">
        <v>59</v>
      </c>
      <c r="C9" s="18" t="s">
        <v>60</v>
      </c>
      <c r="D9" s="19" t="s">
        <v>57</v>
      </c>
      <c r="E9" s="19" t="s">
        <v>61</v>
      </c>
      <c r="F9" s="19">
        <v>12</v>
      </c>
      <c r="G9" s="19">
        <v>0</v>
      </c>
      <c r="H9" s="20">
        <f t="shared" si="0"/>
        <v>0</v>
      </c>
      <c r="I9" s="19" t="s">
        <v>58</v>
      </c>
    </row>
    <row r="10" spans="2:9" ht="18" customHeight="1" x14ac:dyDescent="0.25">
      <c r="B10" s="12" t="s">
        <v>62</v>
      </c>
      <c r="C10" s="13" t="s">
        <v>63</v>
      </c>
      <c r="D10" s="14" t="s">
        <v>64</v>
      </c>
      <c r="E10" s="14" t="s">
        <v>65</v>
      </c>
      <c r="F10" s="14">
        <v>13</v>
      </c>
      <c r="G10" s="14">
        <v>0</v>
      </c>
      <c r="H10" s="15">
        <f t="shared" si="0"/>
        <v>0</v>
      </c>
      <c r="I10" s="14" t="s">
        <v>58</v>
      </c>
    </row>
    <row r="11" spans="2:9" ht="18" customHeight="1" x14ac:dyDescent="0.25">
      <c r="B11" s="17" t="s">
        <v>66</v>
      </c>
      <c r="C11" s="18" t="s">
        <v>67</v>
      </c>
      <c r="D11" s="19" t="s">
        <v>65</v>
      </c>
      <c r="E11" s="19" t="s">
        <v>68</v>
      </c>
      <c r="F11" s="19">
        <v>13</v>
      </c>
      <c r="G11" s="19">
        <v>0</v>
      </c>
      <c r="H11" s="20">
        <f t="shared" si="0"/>
        <v>0</v>
      </c>
      <c r="I11" s="19" t="s">
        <v>58</v>
      </c>
    </row>
    <row r="12" spans="2:9" ht="18" customHeight="1" x14ac:dyDescent="0.25">
      <c r="B12" s="12" t="s">
        <v>69</v>
      </c>
      <c r="C12" s="13" t="s">
        <v>70</v>
      </c>
      <c r="D12" s="14" t="s">
        <v>68</v>
      </c>
      <c r="E12" s="14" t="s">
        <v>71</v>
      </c>
      <c r="F12" s="14">
        <v>11</v>
      </c>
      <c r="G12" s="14">
        <v>0</v>
      </c>
      <c r="H12" s="15">
        <f t="shared" si="0"/>
        <v>0</v>
      </c>
      <c r="I12" s="14" t="s">
        <v>58</v>
      </c>
    </row>
    <row r="15" spans="2:9" ht="20.100000000000001" customHeight="1" x14ac:dyDescent="0.25">
      <c r="B15" s="95" t="s">
        <v>72</v>
      </c>
      <c r="C15" s="85"/>
      <c r="D15" s="85"/>
      <c r="E15" s="85"/>
      <c r="F15" s="85"/>
      <c r="G15" s="85"/>
      <c r="H15" s="85"/>
      <c r="I15" s="85"/>
    </row>
    <row r="16" spans="2:9" ht="20.100000000000001" customHeight="1" x14ac:dyDescent="0.25">
      <c r="B16" s="11" t="s">
        <v>73</v>
      </c>
      <c r="C16" s="11" t="s">
        <v>74</v>
      </c>
      <c r="D16" s="11"/>
      <c r="E16" s="11"/>
      <c r="F16" s="11"/>
      <c r="G16" s="11"/>
      <c r="H16" s="11" t="s">
        <v>75</v>
      </c>
      <c r="I16" s="11" t="s">
        <v>6</v>
      </c>
    </row>
    <row r="17" spans="2:9" ht="35.1" customHeight="1" x14ac:dyDescent="0.25">
      <c r="B17" s="22" t="s">
        <v>76</v>
      </c>
      <c r="C17" s="91" t="s">
        <v>77</v>
      </c>
      <c r="D17" s="92"/>
      <c r="E17" s="92"/>
      <c r="F17" s="92"/>
      <c r="G17" s="93"/>
      <c r="H17" s="23" t="s">
        <v>78</v>
      </c>
      <c r="I17" s="23" t="s">
        <v>79</v>
      </c>
    </row>
    <row r="18" spans="2:9" ht="35.1" customHeight="1" x14ac:dyDescent="0.25">
      <c r="B18" s="24" t="s">
        <v>80</v>
      </c>
      <c r="C18" s="94" t="s">
        <v>81</v>
      </c>
      <c r="D18" s="92"/>
      <c r="E18" s="92"/>
      <c r="F18" s="92"/>
      <c r="G18" s="93"/>
      <c r="H18" s="25" t="s">
        <v>78</v>
      </c>
      <c r="I18" s="25" t="s">
        <v>79</v>
      </c>
    </row>
    <row r="19" spans="2:9" ht="35.1" customHeight="1" x14ac:dyDescent="0.25">
      <c r="B19" s="22" t="s">
        <v>82</v>
      </c>
      <c r="C19" s="91" t="s">
        <v>83</v>
      </c>
      <c r="D19" s="92"/>
      <c r="E19" s="92"/>
      <c r="F19" s="92"/>
      <c r="G19" s="93"/>
      <c r="H19" s="23" t="s">
        <v>84</v>
      </c>
      <c r="I19" s="23" t="s">
        <v>85</v>
      </c>
    </row>
    <row r="20" spans="2:9" ht="35.1" customHeight="1" x14ac:dyDescent="0.25">
      <c r="B20" s="24" t="s">
        <v>86</v>
      </c>
      <c r="C20" s="94" t="s">
        <v>87</v>
      </c>
      <c r="D20" s="92"/>
      <c r="E20" s="92"/>
      <c r="F20" s="92"/>
      <c r="G20" s="93"/>
      <c r="H20" s="25" t="s">
        <v>88</v>
      </c>
      <c r="I20" s="25" t="s">
        <v>85</v>
      </c>
    </row>
    <row r="21" spans="2:9" ht="35.1" customHeight="1" x14ac:dyDescent="0.25">
      <c r="B21" s="22" t="s">
        <v>89</v>
      </c>
      <c r="C21" s="91" t="s">
        <v>90</v>
      </c>
      <c r="D21" s="92"/>
      <c r="E21" s="92"/>
      <c r="F21" s="92"/>
      <c r="G21" s="93"/>
      <c r="H21" s="23" t="s">
        <v>91</v>
      </c>
      <c r="I21" s="23" t="s">
        <v>85</v>
      </c>
    </row>
    <row r="22" spans="2:9" ht="35.1" customHeight="1" x14ac:dyDescent="0.25">
      <c r="B22" s="24" t="s">
        <v>92</v>
      </c>
      <c r="C22" s="94" t="s">
        <v>93</v>
      </c>
      <c r="D22" s="92"/>
      <c r="E22" s="92"/>
      <c r="F22" s="92"/>
      <c r="G22" s="93"/>
      <c r="H22" s="25" t="s">
        <v>94</v>
      </c>
      <c r="I22" s="25" t="s">
        <v>85</v>
      </c>
    </row>
    <row r="23" spans="2:9" ht="35.1" customHeight="1" x14ac:dyDescent="0.25">
      <c r="B23" s="22" t="s">
        <v>69</v>
      </c>
      <c r="C23" s="91" t="s">
        <v>95</v>
      </c>
      <c r="D23" s="92"/>
      <c r="E23" s="92"/>
      <c r="F23" s="92"/>
      <c r="G23" s="93"/>
      <c r="H23" s="23" t="s">
        <v>96</v>
      </c>
      <c r="I23" s="23" t="s">
        <v>85</v>
      </c>
    </row>
  </sheetData>
  <mergeCells count="11">
    <mergeCell ref="C23:G23"/>
    <mergeCell ref="C22:G22"/>
    <mergeCell ref="B1:I1"/>
    <mergeCell ref="C18:G18"/>
    <mergeCell ref="B4:I4"/>
    <mergeCell ref="C17:G17"/>
    <mergeCell ref="C21:G21"/>
    <mergeCell ref="C20:G20"/>
    <mergeCell ref="B15:I15"/>
    <mergeCell ref="B2:I2"/>
    <mergeCell ref="C19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39"/>
  <sheetViews>
    <sheetView workbookViewId="0"/>
  </sheetViews>
  <sheetFormatPr defaultRowHeight="15" x14ac:dyDescent="0.25"/>
  <cols>
    <col min="1" max="1" width="3" customWidth="1"/>
    <col min="2" max="2" width="22" customWidth="1"/>
    <col min="3" max="3" width="55" customWidth="1"/>
  </cols>
  <sheetData>
    <row r="1" spans="2:3" ht="27.95" customHeight="1" x14ac:dyDescent="0.25">
      <c r="B1" s="97" t="s">
        <v>97</v>
      </c>
      <c r="C1" s="85"/>
    </row>
    <row r="2" spans="2:3" ht="15.95" customHeight="1" x14ac:dyDescent="0.25">
      <c r="B2" s="98" t="s">
        <v>98</v>
      </c>
      <c r="C2" s="85"/>
    </row>
    <row r="4" spans="2:3" ht="20.100000000000001" customHeight="1" x14ac:dyDescent="0.25">
      <c r="B4" s="95" t="s">
        <v>99</v>
      </c>
      <c r="C4" s="85"/>
    </row>
    <row r="5" spans="2:3" ht="18" customHeight="1" x14ac:dyDescent="0.25">
      <c r="B5" s="26" t="s">
        <v>100</v>
      </c>
      <c r="C5" s="27" t="s">
        <v>101</v>
      </c>
    </row>
    <row r="6" spans="2:3" ht="18" customHeight="1" x14ac:dyDescent="0.25">
      <c r="B6" s="26" t="s">
        <v>102</v>
      </c>
      <c r="C6" s="28" t="s">
        <v>103</v>
      </c>
    </row>
    <row r="7" spans="2:3" ht="18" customHeight="1" x14ac:dyDescent="0.25">
      <c r="B7" s="26" t="s">
        <v>104</v>
      </c>
      <c r="C7" s="29" t="s">
        <v>105</v>
      </c>
    </row>
    <row r="8" spans="2:3" ht="18" customHeight="1" x14ac:dyDescent="0.25">
      <c r="B8" s="26" t="s">
        <v>106</v>
      </c>
      <c r="C8" s="30" t="s">
        <v>107</v>
      </c>
    </row>
    <row r="9" spans="2:3" ht="18" customHeight="1" x14ac:dyDescent="0.25">
      <c r="B9" s="26" t="s">
        <v>108</v>
      </c>
      <c r="C9" s="31" t="s">
        <v>109</v>
      </c>
    </row>
    <row r="11" spans="2:3" ht="20.100000000000001" customHeight="1" x14ac:dyDescent="0.25">
      <c r="B11" s="95" t="s">
        <v>110</v>
      </c>
      <c r="C11" s="85"/>
    </row>
    <row r="12" spans="2:3" ht="18" customHeight="1" x14ac:dyDescent="0.25">
      <c r="B12" s="26" t="s">
        <v>111</v>
      </c>
      <c r="C12" s="32" t="s">
        <v>112</v>
      </c>
    </row>
    <row r="13" spans="2:3" ht="18" customHeight="1" x14ac:dyDescent="0.25">
      <c r="B13" s="26" t="s">
        <v>113</v>
      </c>
      <c r="C13" s="32" t="s">
        <v>114</v>
      </c>
    </row>
    <row r="14" spans="2:3" ht="18" customHeight="1" x14ac:dyDescent="0.25">
      <c r="B14" s="26" t="s">
        <v>115</v>
      </c>
      <c r="C14" s="32" t="s">
        <v>116</v>
      </c>
    </row>
    <row r="15" spans="2:3" ht="18" customHeight="1" x14ac:dyDescent="0.25">
      <c r="B15" s="26" t="s">
        <v>117</v>
      </c>
      <c r="C15" s="32" t="s">
        <v>118</v>
      </c>
    </row>
    <row r="17" spans="2:3" ht="20.100000000000001" customHeight="1" x14ac:dyDescent="0.25">
      <c r="B17" s="95" t="s">
        <v>119</v>
      </c>
      <c r="C17" s="85"/>
    </row>
    <row r="18" spans="2:3" ht="18" customHeight="1" x14ac:dyDescent="0.25">
      <c r="B18" s="26" t="s">
        <v>120</v>
      </c>
      <c r="C18" s="32" t="s">
        <v>121</v>
      </c>
    </row>
    <row r="19" spans="2:3" ht="18" customHeight="1" x14ac:dyDescent="0.25">
      <c r="B19" s="26" t="s">
        <v>122</v>
      </c>
      <c r="C19" s="32" t="s">
        <v>123</v>
      </c>
    </row>
    <row r="20" spans="2:3" ht="18" customHeight="1" x14ac:dyDescent="0.25">
      <c r="B20" s="26" t="s">
        <v>124</v>
      </c>
      <c r="C20" s="32" t="s">
        <v>125</v>
      </c>
    </row>
    <row r="21" spans="2:3" ht="18" customHeight="1" x14ac:dyDescent="0.25">
      <c r="B21" s="26" t="s">
        <v>126</v>
      </c>
      <c r="C21" s="32" t="s">
        <v>127</v>
      </c>
    </row>
    <row r="22" spans="2:3" ht="18" customHeight="1" x14ac:dyDescent="0.25">
      <c r="B22" s="26" t="s">
        <v>128</v>
      </c>
      <c r="C22" s="32" t="s">
        <v>129</v>
      </c>
    </row>
    <row r="23" spans="2:3" ht="18" customHeight="1" x14ac:dyDescent="0.25">
      <c r="B23" s="26" t="s">
        <v>130</v>
      </c>
      <c r="C23" s="32" t="s">
        <v>131</v>
      </c>
    </row>
    <row r="24" spans="2:3" ht="18" customHeight="1" x14ac:dyDescent="0.25">
      <c r="B24" s="26" t="s">
        <v>132</v>
      </c>
      <c r="C24" s="32" t="s">
        <v>133</v>
      </c>
    </row>
    <row r="25" spans="2:3" ht="18" customHeight="1" x14ac:dyDescent="0.25">
      <c r="B25" s="26" t="s">
        <v>134</v>
      </c>
      <c r="C25" s="32" t="s">
        <v>135</v>
      </c>
    </row>
    <row r="27" spans="2:3" ht="20.100000000000001" customHeight="1" x14ac:dyDescent="0.25">
      <c r="B27" s="100" t="s">
        <v>136</v>
      </c>
      <c r="C27" s="85"/>
    </row>
    <row r="28" spans="2:3" ht="18" customHeight="1" x14ac:dyDescent="0.25">
      <c r="B28" s="26" t="s">
        <v>137</v>
      </c>
      <c r="C28" s="32" t="s">
        <v>138</v>
      </c>
    </row>
    <row r="29" spans="2:3" ht="18" customHeight="1" x14ac:dyDescent="0.25">
      <c r="B29" s="26" t="s">
        <v>139</v>
      </c>
      <c r="C29" s="32" t="s">
        <v>140</v>
      </c>
    </row>
    <row r="30" spans="2:3" ht="18" customHeight="1" x14ac:dyDescent="0.25">
      <c r="B30" s="26" t="s">
        <v>141</v>
      </c>
      <c r="C30" s="32" t="s">
        <v>142</v>
      </c>
    </row>
    <row r="31" spans="2:3" ht="18" customHeight="1" x14ac:dyDescent="0.25">
      <c r="B31" s="26" t="s">
        <v>143</v>
      </c>
      <c r="C31" s="32" t="s">
        <v>144</v>
      </c>
    </row>
    <row r="32" spans="2:3" ht="18" customHeight="1" x14ac:dyDescent="0.25">
      <c r="B32" s="26" t="s">
        <v>145</v>
      </c>
      <c r="C32" s="32" t="s">
        <v>146</v>
      </c>
    </row>
    <row r="34" spans="2:3" ht="20.100000000000001" customHeight="1" x14ac:dyDescent="0.25">
      <c r="B34" s="99" t="s">
        <v>147</v>
      </c>
      <c r="C34" s="85"/>
    </row>
    <row r="35" spans="2:3" ht="18" customHeight="1" x14ac:dyDescent="0.25">
      <c r="B35" s="26" t="s">
        <v>148</v>
      </c>
      <c r="C35" s="32" t="s">
        <v>149</v>
      </c>
    </row>
    <row r="36" spans="2:3" ht="18" customHeight="1" x14ac:dyDescent="0.25">
      <c r="B36" s="26" t="s">
        <v>150</v>
      </c>
      <c r="C36" s="32" t="s">
        <v>151</v>
      </c>
    </row>
    <row r="37" spans="2:3" ht="18" customHeight="1" x14ac:dyDescent="0.25">
      <c r="B37" s="26" t="s">
        <v>152</v>
      </c>
      <c r="C37" s="32" t="s">
        <v>153</v>
      </c>
    </row>
    <row r="38" spans="2:3" ht="18" customHeight="1" x14ac:dyDescent="0.25">
      <c r="B38" s="26" t="s">
        <v>154</v>
      </c>
      <c r="C38" s="32" t="s">
        <v>155</v>
      </c>
    </row>
    <row r="39" spans="2:3" ht="18" customHeight="1" x14ac:dyDescent="0.25">
      <c r="B39" s="26" t="s">
        <v>156</v>
      </c>
      <c r="C39" s="32" t="s">
        <v>157</v>
      </c>
    </row>
  </sheetData>
  <mergeCells count="7">
    <mergeCell ref="B1:C1"/>
    <mergeCell ref="B4:C4"/>
    <mergeCell ref="B2:C2"/>
    <mergeCell ref="B11:C11"/>
    <mergeCell ref="B34:C34"/>
    <mergeCell ref="B17:C17"/>
    <mergeCell ref="B27:C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32"/>
  <sheetViews>
    <sheetView tabSelected="1" workbookViewId="0">
      <pane xSplit="1" ySplit="5" topLeftCell="B11" activePane="bottomRight" state="frozen"/>
      <selection pane="topRight"/>
      <selection pane="bottomLeft"/>
      <selection pane="bottomRight" activeCell="N14" sqref="N14"/>
    </sheetView>
  </sheetViews>
  <sheetFormatPr defaultRowHeight="15" x14ac:dyDescent="0.25"/>
  <cols>
    <col min="1" max="1" width="3" customWidth="1"/>
    <col min="2" max="2" width="7" customWidth="1"/>
    <col min="3" max="3" width="28" customWidth="1"/>
    <col min="4" max="4" width="55" customWidth="1"/>
    <col min="5" max="5" width="18" customWidth="1"/>
    <col min="6" max="6" width="16" customWidth="1"/>
    <col min="7" max="7" width="14" customWidth="1"/>
    <col min="8" max="9" width="12" customWidth="1"/>
    <col min="10" max="10" width="14" customWidth="1"/>
    <col min="11" max="11" width="20.42578125" customWidth="1"/>
    <col min="12" max="12" width="18.85546875" customWidth="1"/>
    <col min="13" max="13" width="10" customWidth="1"/>
    <col min="14" max="14" width="35" customWidth="1"/>
  </cols>
  <sheetData>
    <row r="1" spans="2:14" ht="27.95" customHeight="1" x14ac:dyDescent="0.25">
      <c r="B1" s="97" t="s">
        <v>158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2:14" ht="15.95" customHeight="1" x14ac:dyDescent="0.25">
      <c r="B2" s="96" t="s">
        <v>159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2:14" ht="35.1" customHeight="1" x14ac:dyDescent="0.25">
      <c r="B3" s="102" t="s">
        <v>160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</row>
    <row r="4" spans="2:14" ht="6" customHeight="1" x14ac:dyDescent="0.25"/>
    <row r="5" spans="2:14" ht="21.95" customHeight="1" x14ac:dyDescent="0.25">
      <c r="B5" s="33" t="s">
        <v>161</v>
      </c>
      <c r="C5" s="33" t="s">
        <v>162</v>
      </c>
      <c r="D5" s="33" t="s">
        <v>163</v>
      </c>
      <c r="E5" s="33" t="s">
        <v>164</v>
      </c>
      <c r="F5" s="33" t="s">
        <v>165</v>
      </c>
      <c r="G5" s="33" t="s">
        <v>6</v>
      </c>
      <c r="H5" s="33" t="s">
        <v>166</v>
      </c>
      <c r="I5" s="33" t="s">
        <v>167</v>
      </c>
      <c r="J5" s="33" t="s">
        <v>168</v>
      </c>
      <c r="K5" s="33" t="s">
        <v>169</v>
      </c>
      <c r="L5" s="33" t="s">
        <v>170</v>
      </c>
      <c r="M5" s="33" t="s">
        <v>171</v>
      </c>
      <c r="N5" s="34" t="s">
        <v>172</v>
      </c>
    </row>
    <row r="6" spans="2:14" ht="18" customHeight="1" x14ac:dyDescent="0.25">
      <c r="B6" s="101" t="s">
        <v>173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</row>
    <row r="7" spans="2:14" ht="45" customHeight="1" x14ac:dyDescent="0.25">
      <c r="B7" s="35" t="s">
        <v>174</v>
      </c>
      <c r="C7" s="36" t="s">
        <v>175</v>
      </c>
      <c r="D7" s="37" t="s">
        <v>176</v>
      </c>
      <c r="E7" s="38" t="s">
        <v>177</v>
      </c>
      <c r="F7" s="38" t="s">
        <v>178</v>
      </c>
      <c r="G7" s="39" t="s">
        <v>104</v>
      </c>
      <c r="H7" s="40" t="s">
        <v>179</v>
      </c>
      <c r="I7" s="40" t="s">
        <v>49</v>
      </c>
      <c r="J7" s="39" t="s">
        <v>111</v>
      </c>
      <c r="K7" s="37" t="s">
        <v>180</v>
      </c>
      <c r="L7" s="41"/>
      <c r="M7" s="42">
        <v>1</v>
      </c>
      <c r="N7" s="43" t="s">
        <v>181</v>
      </c>
    </row>
    <row r="8" spans="2:14" ht="45" customHeight="1" x14ac:dyDescent="0.25">
      <c r="B8" s="35" t="s">
        <v>182</v>
      </c>
      <c r="C8" s="36" t="s">
        <v>183</v>
      </c>
      <c r="D8" s="37" t="s">
        <v>184</v>
      </c>
      <c r="E8" s="38" t="s">
        <v>177</v>
      </c>
      <c r="F8" s="38" t="s">
        <v>185</v>
      </c>
      <c r="G8" s="39" t="s">
        <v>104</v>
      </c>
      <c r="H8" s="40" t="s">
        <v>186</v>
      </c>
      <c r="I8" s="40" t="s">
        <v>187</v>
      </c>
      <c r="J8" s="39" t="s">
        <v>111</v>
      </c>
      <c r="K8" s="37" t="s">
        <v>188</v>
      </c>
      <c r="L8" s="41"/>
      <c r="M8" s="42">
        <v>1</v>
      </c>
      <c r="N8" s="43" t="s">
        <v>189</v>
      </c>
    </row>
    <row r="9" spans="2:14" ht="45" customHeight="1" x14ac:dyDescent="0.25">
      <c r="B9" s="35" t="s">
        <v>190</v>
      </c>
      <c r="C9" s="36" t="s">
        <v>191</v>
      </c>
      <c r="D9" s="37" t="s">
        <v>192</v>
      </c>
      <c r="E9" s="38" t="s">
        <v>177</v>
      </c>
      <c r="F9" s="38" t="s">
        <v>178</v>
      </c>
      <c r="G9" s="39" t="s">
        <v>104</v>
      </c>
      <c r="H9" s="40" t="s">
        <v>186</v>
      </c>
      <c r="I9" s="40" t="s">
        <v>187</v>
      </c>
      <c r="J9" s="39" t="s">
        <v>113</v>
      </c>
      <c r="K9" s="37" t="s">
        <v>193</v>
      </c>
      <c r="L9" s="41"/>
      <c r="M9" s="42">
        <v>1</v>
      </c>
      <c r="N9" s="43" t="s">
        <v>194</v>
      </c>
    </row>
    <row r="10" spans="2:14" ht="45" customHeight="1" x14ac:dyDescent="0.25">
      <c r="B10" s="35" t="s">
        <v>195</v>
      </c>
      <c r="C10" s="36" t="s">
        <v>196</v>
      </c>
      <c r="D10" s="37" t="s">
        <v>197</v>
      </c>
      <c r="E10" s="38" t="s">
        <v>177</v>
      </c>
      <c r="F10" s="38" t="s">
        <v>185</v>
      </c>
      <c r="G10" s="39" t="s">
        <v>104</v>
      </c>
      <c r="H10" s="40" t="s">
        <v>198</v>
      </c>
      <c r="I10" s="40" t="s">
        <v>179</v>
      </c>
      <c r="J10" s="39" t="s">
        <v>113</v>
      </c>
      <c r="K10" s="37" t="s">
        <v>199</v>
      </c>
      <c r="L10" s="41"/>
      <c r="M10" s="42">
        <v>2</v>
      </c>
      <c r="N10" s="43" t="s">
        <v>200</v>
      </c>
    </row>
    <row r="11" spans="2:14" ht="45" customHeight="1" x14ac:dyDescent="0.25">
      <c r="B11" s="35" t="s">
        <v>201</v>
      </c>
      <c r="C11" s="36" t="s">
        <v>202</v>
      </c>
      <c r="D11" s="37" t="s">
        <v>203</v>
      </c>
      <c r="E11" s="38" t="s">
        <v>177</v>
      </c>
      <c r="F11" s="38" t="s">
        <v>204</v>
      </c>
      <c r="G11" s="39" t="s">
        <v>104</v>
      </c>
      <c r="H11" s="40" t="s">
        <v>198</v>
      </c>
      <c r="I11" s="40" t="s">
        <v>205</v>
      </c>
      <c r="J11" s="39" t="s">
        <v>115</v>
      </c>
      <c r="K11" s="37" t="s">
        <v>206</v>
      </c>
      <c r="L11" s="41"/>
      <c r="M11" s="42">
        <v>2</v>
      </c>
      <c r="N11" s="43" t="s">
        <v>207</v>
      </c>
    </row>
    <row r="13" spans="2:14" ht="18" customHeight="1" x14ac:dyDescent="0.25">
      <c r="B13" s="101" t="s">
        <v>208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</row>
    <row r="14" spans="2:14" ht="45" customHeight="1" x14ac:dyDescent="0.25">
      <c r="B14" s="44" t="s">
        <v>209</v>
      </c>
      <c r="C14" s="45" t="s">
        <v>210</v>
      </c>
      <c r="D14" s="46" t="s">
        <v>211</v>
      </c>
      <c r="E14" s="47" t="s">
        <v>212</v>
      </c>
      <c r="F14" s="47" t="s">
        <v>178</v>
      </c>
      <c r="G14" s="48" t="s">
        <v>102</v>
      </c>
      <c r="H14" s="49" t="s">
        <v>213</v>
      </c>
      <c r="I14" s="49"/>
      <c r="J14" s="48" t="s">
        <v>111</v>
      </c>
      <c r="K14" s="46" t="s">
        <v>214</v>
      </c>
      <c r="L14" s="50"/>
      <c r="M14" s="51">
        <v>4</v>
      </c>
      <c r="N14" s="43" t="s">
        <v>215</v>
      </c>
    </row>
    <row r="15" spans="2:14" ht="45" customHeight="1" x14ac:dyDescent="0.25">
      <c r="B15" s="44" t="s">
        <v>216</v>
      </c>
      <c r="C15" s="45" t="s">
        <v>217</v>
      </c>
      <c r="D15" s="46" t="s">
        <v>218</v>
      </c>
      <c r="E15" s="47" t="s">
        <v>212</v>
      </c>
      <c r="F15" s="47" t="s">
        <v>178</v>
      </c>
      <c r="G15" s="48" t="s">
        <v>102</v>
      </c>
      <c r="H15" s="49" t="s">
        <v>213</v>
      </c>
      <c r="I15" s="49"/>
      <c r="J15" s="48" t="s">
        <v>111</v>
      </c>
      <c r="K15" s="46" t="s">
        <v>219</v>
      </c>
      <c r="L15" s="50"/>
      <c r="M15" s="51">
        <v>3</v>
      </c>
      <c r="N15" s="43" t="s">
        <v>220</v>
      </c>
    </row>
    <row r="16" spans="2:14" ht="45" customHeight="1" x14ac:dyDescent="0.25">
      <c r="B16" s="44" t="s">
        <v>221</v>
      </c>
      <c r="C16" s="45" t="s">
        <v>222</v>
      </c>
      <c r="D16" s="46" t="s">
        <v>223</v>
      </c>
      <c r="E16" s="47" t="s">
        <v>212</v>
      </c>
      <c r="F16" s="47" t="s">
        <v>178</v>
      </c>
      <c r="G16" s="48" t="s">
        <v>102</v>
      </c>
      <c r="H16" s="49" t="s">
        <v>186</v>
      </c>
      <c r="I16" s="49"/>
      <c r="J16" s="48" t="s">
        <v>111</v>
      </c>
      <c r="K16" s="46" t="s">
        <v>224</v>
      </c>
      <c r="L16" s="50"/>
      <c r="M16" s="51">
        <v>2</v>
      </c>
      <c r="N16" s="43" t="s">
        <v>225</v>
      </c>
    </row>
    <row r="17" spans="2:14" ht="45" customHeight="1" x14ac:dyDescent="0.25">
      <c r="B17" s="52" t="s">
        <v>226</v>
      </c>
      <c r="C17" s="53" t="s">
        <v>227</v>
      </c>
      <c r="D17" s="54" t="s">
        <v>228</v>
      </c>
      <c r="E17" s="55" t="s">
        <v>229</v>
      </c>
      <c r="F17" s="55" t="s">
        <v>178</v>
      </c>
      <c r="G17" s="56" t="s">
        <v>100</v>
      </c>
      <c r="H17" s="57" t="s">
        <v>230</v>
      </c>
      <c r="I17" s="57"/>
      <c r="J17" s="56" t="s">
        <v>111</v>
      </c>
      <c r="K17" s="54" t="s">
        <v>231</v>
      </c>
      <c r="L17" s="58"/>
      <c r="M17" s="59">
        <v>6</v>
      </c>
      <c r="N17" s="43" t="s">
        <v>232</v>
      </c>
    </row>
    <row r="18" spans="2:14" ht="45" customHeight="1" x14ac:dyDescent="0.25">
      <c r="B18" s="44" t="s">
        <v>233</v>
      </c>
      <c r="C18" s="45" t="s">
        <v>234</v>
      </c>
      <c r="D18" s="46" t="s">
        <v>235</v>
      </c>
      <c r="E18" s="47" t="s">
        <v>229</v>
      </c>
      <c r="F18" s="47" t="s">
        <v>185</v>
      </c>
      <c r="G18" s="48" t="s">
        <v>102</v>
      </c>
      <c r="H18" s="49" t="s">
        <v>230</v>
      </c>
      <c r="I18" s="49"/>
      <c r="J18" s="48" t="s">
        <v>113</v>
      </c>
      <c r="K18" s="46" t="s">
        <v>236</v>
      </c>
      <c r="L18" s="50"/>
      <c r="M18" s="51">
        <v>3</v>
      </c>
      <c r="N18" s="43" t="s">
        <v>237</v>
      </c>
    </row>
    <row r="20" spans="2:14" ht="18" customHeight="1" x14ac:dyDescent="0.25">
      <c r="B20" s="101" t="s">
        <v>238</v>
      </c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</row>
    <row r="21" spans="2:14" ht="45" customHeight="1" x14ac:dyDescent="0.25">
      <c r="B21" s="35" t="s">
        <v>239</v>
      </c>
      <c r="C21" s="36" t="s">
        <v>240</v>
      </c>
      <c r="D21" s="37" t="s">
        <v>241</v>
      </c>
      <c r="E21" s="38" t="s">
        <v>242</v>
      </c>
      <c r="F21" s="38" t="s">
        <v>204</v>
      </c>
      <c r="G21" s="39" t="s">
        <v>104</v>
      </c>
      <c r="H21" s="40" t="s">
        <v>179</v>
      </c>
      <c r="I21" s="40" t="s">
        <v>187</v>
      </c>
      <c r="J21" s="39" t="s">
        <v>111</v>
      </c>
      <c r="K21" s="37" t="s">
        <v>243</v>
      </c>
      <c r="L21" s="41"/>
      <c r="M21" s="42">
        <v>1</v>
      </c>
      <c r="N21" s="43"/>
    </row>
    <row r="22" spans="2:14" ht="45" customHeight="1" x14ac:dyDescent="0.25">
      <c r="B22" s="44" t="s">
        <v>244</v>
      </c>
      <c r="C22" s="45" t="s">
        <v>245</v>
      </c>
      <c r="D22" s="46" t="s">
        <v>246</v>
      </c>
      <c r="E22" s="47" t="s">
        <v>242</v>
      </c>
      <c r="F22" s="47" t="s">
        <v>247</v>
      </c>
      <c r="G22" s="48" t="s">
        <v>102</v>
      </c>
      <c r="H22" s="49" t="s">
        <v>198</v>
      </c>
      <c r="I22" s="49"/>
      <c r="J22" s="48" t="s">
        <v>113</v>
      </c>
      <c r="K22" s="46" t="s">
        <v>248</v>
      </c>
      <c r="L22" s="50"/>
      <c r="M22" s="51">
        <v>3</v>
      </c>
      <c r="N22" s="43" t="s">
        <v>249</v>
      </c>
    </row>
    <row r="23" spans="2:14" ht="45" customHeight="1" x14ac:dyDescent="0.25">
      <c r="B23" s="60" t="s">
        <v>250</v>
      </c>
      <c r="C23" s="61" t="s">
        <v>251</v>
      </c>
      <c r="D23" s="62" t="s">
        <v>252</v>
      </c>
      <c r="E23" s="63" t="s">
        <v>242</v>
      </c>
      <c r="F23" s="63" t="s">
        <v>247</v>
      </c>
      <c r="G23" s="64" t="s">
        <v>100</v>
      </c>
      <c r="H23" s="65" t="s">
        <v>230</v>
      </c>
      <c r="I23" s="65"/>
      <c r="J23" s="64" t="s">
        <v>115</v>
      </c>
      <c r="K23" s="62" t="s">
        <v>253</v>
      </c>
      <c r="L23" s="66"/>
      <c r="M23" s="67">
        <v>1</v>
      </c>
      <c r="N23" s="43" t="s">
        <v>254</v>
      </c>
    </row>
    <row r="24" spans="2:14" ht="45" customHeight="1" x14ac:dyDescent="0.25">
      <c r="B24" s="35" t="s">
        <v>255</v>
      </c>
      <c r="C24" s="36" t="s">
        <v>256</v>
      </c>
      <c r="D24" s="37" t="s">
        <v>257</v>
      </c>
      <c r="E24" s="38" t="s">
        <v>242</v>
      </c>
      <c r="F24" s="38" t="s">
        <v>204</v>
      </c>
      <c r="G24" s="39" t="s">
        <v>104</v>
      </c>
      <c r="H24" s="40" t="s">
        <v>230</v>
      </c>
      <c r="I24" s="40" t="s">
        <v>186</v>
      </c>
      <c r="J24" s="39" t="s">
        <v>115</v>
      </c>
      <c r="K24" s="37" t="s">
        <v>258</v>
      </c>
      <c r="L24" s="41"/>
      <c r="M24" s="42">
        <v>1</v>
      </c>
      <c r="N24" s="43"/>
    </row>
    <row r="25" spans="2:14" ht="45" customHeight="1" x14ac:dyDescent="0.25">
      <c r="B25" s="60" t="s">
        <v>259</v>
      </c>
      <c r="C25" s="61" t="s">
        <v>260</v>
      </c>
      <c r="D25" s="62" t="s">
        <v>261</v>
      </c>
      <c r="E25" s="63" t="s">
        <v>262</v>
      </c>
      <c r="F25" s="63" t="s">
        <v>178</v>
      </c>
      <c r="G25" s="64" t="s">
        <v>100</v>
      </c>
      <c r="H25" s="65" t="s">
        <v>263</v>
      </c>
      <c r="I25" s="65"/>
      <c r="J25" s="64" t="s">
        <v>111</v>
      </c>
      <c r="K25" s="62" t="s">
        <v>264</v>
      </c>
      <c r="L25" s="66"/>
      <c r="M25" s="67">
        <v>8</v>
      </c>
      <c r="N25" s="43" t="s">
        <v>265</v>
      </c>
    </row>
    <row r="27" spans="2:14" ht="18" customHeight="1" x14ac:dyDescent="0.25">
      <c r="B27" s="101" t="s">
        <v>266</v>
      </c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</row>
    <row r="28" spans="2:14" ht="45" customHeight="1" x14ac:dyDescent="0.25">
      <c r="B28" s="60" t="s">
        <v>267</v>
      </c>
      <c r="C28" s="61" t="s">
        <v>268</v>
      </c>
      <c r="D28" s="62" t="s">
        <v>269</v>
      </c>
      <c r="E28" s="63" t="s">
        <v>270</v>
      </c>
      <c r="F28" s="63" t="s">
        <v>178</v>
      </c>
      <c r="G28" s="64" t="s">
        <v>100</v>
      </c>
      <c r="H28" s="65" t="s">
        <v>179</v>
      </c>
      <c r="I28" s="65"/>
      <c r="J28" s="64" t="s">
        <v>111</v>
      </c>
      <c r="K28" s="62" t="s">
        <v>271</v>
      </c>
      <c r="L28" s="66"/>
      <c r="M28" s="67">
        <v>1</v>
      </c>
      <c r="N28" s="43" t="s">
        <v>272</v>
      </c>
    </row>
    <row r="29" spans="2:14" ht="45" customHeight="1" x14ac:dyDescent="0.25">
      <c r="B29" s="52" t="s">
        <v>273</v>
      </c>
      <c r="C29" s="53" t="s">
        <v>274</v>
      </c>
      <c r="D29" s="54" t="s">
        <v>275</v>
      </c>
      <c r="E29" s="55" t="s">
        <v>270</v>
      </c>
      <c r="F29" s="55" t="s">
        <v>178</v>
      </c>
      <c r="G29" s="56" t="s">
        <v>100</v>
      </c>
      <c r="H29" s="57" t="s">
        <v>179</v>
      </c>
      <c r="I29" s="57"/>
      <c r="J29" s="56" t="s">
        <v>111</v>
      </c>
      <c r="K29" s="54" t="s">
        <v>276</v>
      </c>
      <c r="L29" s="58"/>
      <c r="M29" s="59">
        <v>1</v>
      </c>
      <c r="N29" s="43" t="s">
        <v>277</v>
      </c>
    </row>
    <row r="30" spans="2:14" ht="45" customHeight="1" x14ac:dyDescent="0.25">
      <c r="B30" s="35" t="s">
        <v>278</v>
      </c>
      <c r="C30" s="36" t="s">
        <v>279</v>
      </c>
      <c r="D30" s="37" t="s">
        <v>280</v>
      </c>
      <c r="E30" s="38" t="s">
        <v>270</v>
      </c>
      <c r="F30" s="38" t="s">
        <v>204</v>
      </c>
      <c r="G30" s="39" t="s">
        <v>104</v>
      </c>
      <c r="H30" s="40" t="s">
        <v>230</v>
      </c>
      <c r="I30" s="40" t="s">
        <v>281</v>
      </c>
      <c r="J30" s="39" t="s">
        <v>113</v>
      </c>
      <c r="K30" s="37" t="s">
        <v>282</v>
      </c>
      <c r="L30" s="41" t="s">
        <v>283</v>
      </c>
      <c r="M30" s="42">
        <v>4</v>
      </c>
      <c r="N30" s="43" t="s">
        <v>284</v>
      </c>
    </row>
    <row r="31" spans="2:14" ht="45" customHeight="1" x14ac:dyDescent="0.25">
      <c r="B31" s="44" t="s">
        <v>285</v>
      </c>
      <c r="C31" s="45" t="s">
        <v>286</v>
      </c>
      <c r="D31" s="46" t="s">
        <v>287</v>
      </c>
      <c r="E31" s="47" t="s">
        <v>270</v>
      </c>
      <c r="F31" s="47" t="s">
        <v>204</v>
      </c>
      <c r="G31" s="48" t="s">
        <v>102</v>
      </c>
      <c r="H31" s="49" t="s">
        <v>230</v>
      </c>
      <c r="I31" s="49"/>
      <c r="J31" s="48" t="s">
        <v>113</v>
      </c>
      <c r="K31" s="46" t="s">
        <v>288</v>
      </c>
      <c r="L31" s="50"/>
      <c r="M31" s="51">
        <v>4</v>
      </c>
      <c r="N31" s="43" t="s">
        <v>289</v>
      </c>
    </row>
    <row r="32" spans="2:14" ht="45" customHeight="1" x14ac:dyDescent="0.25">
      <c r="B32" s="60" t="s">
        <v>290</v>
      </c>
      <c r="C32" s="61" t="s">
        <v>291</v>
      </c>
      <c r="D32" s="62" t="s">
        <v>292</v>
      </c>
      <c r="E32" s="63" t="s">
        <v>270</v>
      </c>
      <c r="F32" s="63" t="s">
        <v>204</v>
      </c>
      <c r="G32" s="64" t="s">
        <v>100</v>
      </c>
      <c r="H32" s="65" t="s">
        <v>263</v>
      </c>
      <c r="I32" s="65"/>
      <c r="J32" s="64" t="s">
        <v>115</v>
      </c>
      <c r="K32" s="62" t="s">
        <v>293</v>
      </c>
      <c r="L32" s="66"/>
      <c r="M32" s="67">
        <v>3</v>
      </c>
      <c r="N32" s="43" t="s">
        <v>294</v>
      </c>
    </row>
  </sheetData>
  <mergeCells count="7">
    <mergeCell ref="B27:N27"/>
    <mergeCell ref="B1:N1"/>
    <mergeCell ref="B13:N13"/>
    <mergeCell ref="B6:N6"/>
    <mergeCell ref="B3:N3"/>
    <mergeCell ref="B2:N2"/>
    <mergeCell ref="B20:N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27"/>
  <sheetViews>
    <sheetView workbookViewId="0">
      <pane xSplit="1" ySplit="5" topLeftCell="B7" activePane="bottomRight" state="frozen"/>
      <selection pane="topRight"/>
      <selection pane="bottomLeft"/>
      <selection pane="bottomRight" activeCell="H10" sqref="H10"/>
    </sheetView>
  </sheetViews>
  <sheetFormatPr defaultRowHeight="15" x14ac:dyDescent="0.25"/>
  <cols>
    <col min="1" max="1" width="3" customWidth="1"/>
    <col min="2" max="2" width="7" customWidth="1"/>
    <col min="3" max="3" width="28" customWidth="1"/>
    <col min="4" max="4" width="55" customWidth="1"/>
    <col min="5" max="5" width="18" customWidth="1"/>
    <col min="6" max="6" width="16" customWidth="1"/>
    <col min="7" max="7" width="14" customWidth="1"/>
    <col min="8" max="9" width="12" customWidth="1"/>
    <col min="10" max="10" width="14" customWidth="1"/>
    <col min="11" max="12" width="35" customWidth="1"/>
    <col min="13" max="13" width="10" customWidth="1"/>
    <col min="14" max="14" width="35" customWidth="1"/>
  </cols>
  <sheetData>
    <row r="1" spans="2:14" ht="27.95" customHeight="1" x14ac:dyDescent="0.25">
      <c r="B1" s="97" t="s">
        <v>295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2:14" ht="15.95" customHeight="1" x14ac:dyDescent="0.25">
      <c r="B2" s="96" t="s">
        <v>296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2:14" ht="35.1" customHeight="1" x14ac:dyDescent="0.25">
      <c r="B3" s="102" t="s">
        <v>297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</row>
    <row r="4" spans="2:14" ht="6" customHeight="1" x14ac:dyDescent="0.25"/>
    <row r="5" spans="2:14" ht="21.95" customHeight="1" x14ac:dyDescent="0.25">
      <c r="B5" s="33" t="s">
        <v>161</v>
      </c>
      <c r="C5" s="33" t="s">
        <v>162</v>
      </c>
      <c r="D5" s="33" t="s">
        <v>163</v>
      </c>
      <c r="E5" s="33" t="s">
        <v>164</v>
      </c>
      <c r="F5" s="33" t="s">
        <v>165</v>
      </c>
      <c r="G5" s="33" t="s">
        <v>6</v>
      </c>
      <c r="H5" s="33" t="s">
        <v>166</v>
      </c>
      <c r="I5" s="33" t="s">
        <v>167</v>
      </c>
      <c r="J5" s="33" t="s">
        <v>168</v>
      </c>
      <c r="K5" s="33" t="s">
        <v>169</v>
      </c>
      <c r="L5" s="33" t="s">
        <v>170</v>
      </c>
      <c r="M5" s="33" t="s">
        <v>171</v>
      </c>
      <c r="N5" s="34" t="s">
        <v>172</v>
      </c>
    </row>
    <row r="6" spans="2:14" ht="18" customHeight="1" x14ac:dyDescent="0.25">
      <c r="B6" s="101" t="s">
        <v>298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</row>
    <row r="7" spans="2:14" ht="45" customHeight="1" x14ac:dyDescent="0.25">
      <c r="B7" s="44" t="s">
        <v>299</v>
      </c>
      <c r="C7" s="45" t="s">
        <v>300</v>
      </c>
      <c r="D7" s="46" t="s">
        <v>301</v>
      </c>
      <c r="E7" s="47" t="s">
        <v>302</v>
      </c>
      <c r="F7" s="47" t="s">
        <v>178</v>
      </c>
      <c r="G7" s="48" t="s">
        <v>102</v>
      </c>
      <c r="H7" s="49" t="s">
        <v>303</v>
      </c>
      <c r="I7" s="49"/>
      <c r="J7" s="48" t="s">
        <v>111</v>
      </c>
      <c r="K7" s="46" t="s">
        <v>304</v>
      </c>
      <c r="L7" s="50"/>
      <c r="M7" s="51">
        <v>2</v>
      </c>
      <c r="N7" s="43" t="s">
        <v>305</v>
      </c>
    </row>
    <row r="8" spans="2:14" ht="45" customHeight="1" x14ac:dyDescent="0.25">
      <c r="B8" s="35" t="s">
        <v>306</v>
      </c>
      <c r="C8" s="36" t="s">
        <v>307</v>
      </c>
      <c r="D8" s="37" t="s">
        <v>308</v>
      </c>
      <c r="E8" s="38" t="s">
        <v>302</v>
      </c>
      <c r="F8" s="38" t="s">
        <v>309</v>
      </c>
      <c r="G8" s="39" t="s">
        <v>104</v>
      </c>
      <c r="H8" s="40" t="s">
        <v>263</v>
      </c>
      <c r="I8" s="40" t="s">
        <v>187</v>
      </c>
      <c r="J8" s="39" t="s">
        <v>111</v>
      </c>
      <c r="K8" s="37" t="s">
        <v>310</v>
      </c>
      <c r="L8" s="41"/>
      <c r="M8" s="42">
        <v>3</v>
      </c>
      <c r="N8" s="43" t="s">
        <v>311</v>
      </c>
    </row>
    <row r="9" spans="2:14" ht="45" customHeight="1" x14ac:dyDescent="0.25">
      <c r="B9" s="35" t="s">
        <v>312</v>
      </c>
      <c r="C9" s="36" t="s">
        <v>313</v>
      </c>
      <c r="D9" s="37" t="s">
        <v>314</v>
      </c>
      <c r="E9" s="38" t="s">
        <v>302</v>
      </c>
      <c r="F9" s="38" t="s">
        <v>309</v>
      </c>
      <c r="G9" s="39" t="s">
        <v>104</v>
      </c>
      <c r="H9" s="40" t="s">
        <v>263</v>
      </c>
      <c r="I9" s="40" t="s">
        <v>187</v>
      </c>
      <c r="J9" s="39" t="s">
        <v>111</v>
      </c>
      <c r="K9" s="37" t="s">
        <v>315</v>
      </c>
      <c r="L9" s="41"/>
      <c r="M9" s="42">
        <v>3</v>
      </c>
      <c r="N9" s="43" t="s">
        <v>316</v>
      </c>
    </row>
    <row r="10" spans="2:14" ht="45" customHeight="1" x14ac:dyDescent="0.25">
      <c r="B10" s="52" t="s">
        <v>317</v>
      </c>
      <c r="C10" s="53" t="s">
        <v>318</v>
      </c>
      <c r="D10" s="54" t="s">
        <v>319</v>
      </c>
      <c r="E10" s="55" t="s">
        <v>302</v>
      </c>
      <c r="F10" s="55" t="s">
        <v>178</v>
      </c>
      <c r="G10" s="56" t="s">
        <v>100</v>
      </c>
      <c r="H10" s="57" t="s">
        <v>281</v>
      </c>
      <c r="I10" s="57"/>
      <c r="J10" s="56" t="s">
        <v>111</v>
      </c>
      <c r="K10" s="54" t="s">
        <v>320</v>
      </c>
      <c r="L10" s="58"/>
      <c r="M10" s="59">
        <v>2</v>
      </c>
      <c r="N10" s="43" t="s">
        <v>321</v>
      </c>
    </row>
    <row r="11" spans="2:14" ht="45" customHeight="1" x14ac:dyDescent="0.25">
      <c r="B11" s="60" t="s">
        <v>322</v>
      </c>
      <c r="C11" s="61" t="s">
        <v>323</v>
      </c>
      <c r="D11" s="62" t="s">
        <v>324</v>
      </c>
      <c r="E11" s="63" t="s">
        <v>302</v>
      </c>
      <c r="F11" s="63" t="s">
        <v>325</v>
      </c>
      <c r="G11" s="64" t="s">
        <v>100</v>
      </c>
      <c r="H11" s="65" t="s">
        <v>281</v>
      </c>
      <c r="I11" s="65"/>
      <c r="J11" s="64" t="s">
        <v>111</v>
      </c>
      <c r="K11" s="62" t="s">
        <v>326</v>
      </c>
      <c r="L11" s="66"/>
      <c r="M11" s="67">
        <v>2</v>
      </c>
      <c r="N11" s="43" t="s">
        <v>327</v>
      </c>
    </row>
    <row r="12" spans="2:14" ht="45" customHeight="1" x14ac:dyDescent="0.25">
      <c r="B12" s="35" t="s">
        <v>328</v>
      </c>
      <c r="C12" s="36" t="s">
        <v>329</v>
      </c>
      <c r="D12" s="37" t="s">
        <v>330</v>
      </c>
      <c r="E12" s="38" t="s">
        <v>302</v>
      </c>
      <c r="F12" s="38" t="s">
        <v>331</v>
      </c>
      <c r="G12" s="39" t="s">
        <v>104</v>
      </c>
      <c r="H12" s="40" t="s">
        <v>332</v>
      </c>
      <c r="I12" s="40" t="s">
        <v>187</v>
      </c>
      <c r="J12" s="39" t="s">
        <v>113</v>
      </c>
      <c r="K12" s="37" t="s">
        <v>333</v>
      </c>
      <c r="L12" s="41"/>
      <c r="M12" s="42">
        <v>3</v>
      </c>
      <c r="N12" s="43" t="s">
        <v>334</v>
      </c>
    </row>
    <row r="13" spans="2:14" ht="45" customHeight="1" x14ac:dyDescent="0.25">
      <c r="B13" s="35" t="s">
        <v>335</v>
      </c>
      <c r="C13" s="36" t="s">
        <v>336</v>
      </c>
      <c r="D13" s="37" t="s">
        <v>337</v>
      </c>
      <c r="E13" s="38" t="s">
        <v>302</v>
      </c>
      <c r="F13" s="38" t="s">
        <v>331</v>
      </c>
      <c r="G13" s="39" t="s">
        <v>104</v>
      </c>
      <c r="H13" s="40" t="s">
        <v>332</v>
      </c>
      <c r="I13" s="40" t="s">
        <v>187</v>
      </c>
      <c r="J13" s="39" t="s">
        <v>113</v>
      </c>
      <c r="K13" s="37" t="s">
        <v>338</v>
      </c>
      <c r="L13" s="41"/>
      <c r="M13" s="42">
        <v>3</v>
      </c>
      <c r="N13" s="43" t="s">
        <v>339</v>
      </c>
    </row>
    <row r="14" spans="2:14" ht="45" customHeight="1" x14ac:dyDescent="0.25">
      <c r="B14" s="44" t="s">
        <v>340</v>
      </c>
      <c r="C14" s="45" t="s">
        <v>341</v>
      </c>
      <c r="D14" s="46" t="s">
        <v>342</v>
      </c>
      <c r="E14" s="47" t="s">
        <v>302</v>
      </c>
      <c r="F14" s="47" t="s">
        <v>343</v>
      </c>
      <c r="G14" s="48" t="s">
        <v>102</v>
      </c>
      <c r="H14" s="49" t="s">
        <v>344</v>
      </c>
      <c r="I14" s="49"/>
      <c r="J14" s="48" t="s">
        <v>111</v>
      </c>
      <c r="K14" s="46" t="s">
        <v>345</v>
      </c>
      <c r="L14" s="50"/>
      <c r="M14" s="51">
        <v>1</v>
      </c>
      <c r="N14" s="43"/>
    </row>
    <row r="16" spans="2:14" ht="18" customHeight="1" x14ac:dyDescent="0.25">
      <c r="B16" s="101" t="s">
        <v>346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</row>
    <row r="17" spans="2:14" ht="45" customHeight="1" x14ac:dyDescent="0.25">
      <c r="B17" s="44" t="s">
        <v>347</v>
      </c>
      <c r="C17" s="45" t="s">
        <v>348</v>
      </c>
      <c r="D17" s="46" t="s">
        <v>349</v>
      </c>
      <c r="E17" s="47" t="s">
        <v>350</v>
      </c>
      <c r="F17" s="47" t="s">
        <v>178</v>
      </c>
      <c r="G17" s="48" t="s">
        <v>102</v>
      </c>
      <c r="H17" s="49" t="s">
        <v>50</v>
      </c>
      <c r="I17" s="49"/>
      <c r="J17" s="48" t="s">
        <v>111</v>
      </c>
      <c r="K17" s="46" t="s">
        <v>351</v>
      </c>
      <c r="L17" s="50"/>
      <c r="M17" s="51">
        <v>2</v>
      </c>
      <c r="N17" s="43" t="s">
        <v>352</v>
      </c>
    </row>
    <row r="18" spans="2:14" ht="45" customHeight="1" x14ac:dyDescent="0.25">
      <c r="B18" s="52" t="s">
        <v>353</v>
      </c>
      <c r="C18" s="53" t="s">
        <v>354</v>
      </c>
      <c r="D18" s="54" t="s">
        <v>355</v>
      </c>
      <c r="E18" s="55" t="s">
        <v>350</v>
      </c>
      <c r="F18" s="55" t="s">
        <v>356</v>
      </c>
      <c r="G18" s="56" t="s">
        <v>100</v>
      </c>
      <c r="H18" s="57" t="s">
        <v>303</v>
      </c>
      <c r="I18" s="57"/>
      <c r="J18" s="56" t="s">
        <v>111</v>
      </c>
      <c r="K18" s="54" t="s">
        <v>357</v>
      </c>
      <c r="L18" s="58"/>
      <c r="M18" s="59">
        <v>2</v>
      </c>
      <c r="N18" s="43"/>
    </row>
    <row r="19" spans="2:14" ht="45" customHeight="1" x14ac:dyDescent="0.25">
      <c r="B19" s="60" t="s">
        <v>358</v>
      </c>
      <c r="C19" s="61" t="s">
        <v>359</v>
      </c>
      <c r="D19" s="62" t="s">
        <v>360</v>
      </c>
      <c r="E19" s="63" t="s">
        <v>350</v>
      </c>
      <c r="F19" s="63" t="s">
        <v>356</v>
      </c>
      <c r="G19" s="64" t="s">
        <v>100</v>
      </c>
      <c r="H19" s="65" t="s">
        <v>361</v>
      </c>
      <c r="I19" s="65"/>
      <c r="J19" s="64" t="s">
        <v>111</v>
      </c>
      <c r="K19" s="62" t="s">
        <v>362</v>
      </c>
      <c r="L19" s="66"/>
      <c r="M19" s="67">
        <v>2</v>
      </c>
      <c r="N19" s="43" t="s">
        <v>363</v>
      </c>
    </row>
    <row r="20" spans="2:14" ht="45" customHeight="1" x14ac:dyDescent="0.25">
      <c r="B20" s="35" t="s">
        <v>364</v>
      </c>
      <c r="C20" s="36" t="s">
        <v>365</v>
      </c>
      <c r="D20" s="37" t="s">
        <v>366</v>
      </c>
      <c r="E20" s="38" t="s">
        <v>350</v>
      </c>
      <c r="F20" s="38" t="s">
        <v>204</v>
      </c>
      <c r="G20" s="39" t="s">
        <v>104</v>
      </c>
      <c r="H20" s="40" t="s">
        <v>54</v>
      </c>
      <c r="I20" s="40" t="s">
        <v>281</v>
      </c>
      <c r="J20" s="39" t="s">
        <v>113</v>
      </c>
      <c r="K20" s="37" t="s">
        <v>367</v>
      </c>
      <c r="L20" s="41" t="s">
        <v>368</v>
      </c>
      <c r="M20" s="42">
        <v>3</v>
      </c>
      <c r="N20" s="43"/>
    </row>
    <row r="21" spans="2:14" ht="45" customHeight="1" x14ac:dyDescent="0.25">
      <c r="B21" s="60" t="s">
        <v>369</v>
      </c>
      <c r="C21" s="61" t="s">
        <v>370</v>
      </c>
      <c r="D21" s="62" t="s">
        <v>371</v>
      </c>
      <c r="E21" s="63" t="s">
        <v>350</v>
      </c>
      <c r="F21" s="63" t="s">
        <v>372</v>
      </c>
      <c r="G21" s="64" t="s">
        <v>100</v>
      </c>
      <c r="H21" s="65" t="s">
        <v>361</v>
      </c>
      <c r="I21" s="65"/>
      <c r="J21" s="64" t="s">
        <v>115</v>
      </c>
      <c r="K21" s="62" t="s">
        <v>373</v>
      </c>
      <c r="L21" s="66"/>
      <c r="M21" s="67">
        <v>3</v>
      </c>
      <c r="N21" s="43" t="s">
        <v>374</v>
      </c>
    </row>
    <row r="23" spans="2:14" ht="18" customHeight="1" x14ac:dyDescent="0.25">
      <c r="B23" s="101" t="s">
        <v>375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</row>
    <row r="24" spans="2:14" ht="45" customHeight="1" x14ac:dyDescent="0.25">
      <c r="B24" s="60" t="s">
        <v>376</v>
      </c>
      <c r="C24" s="61" t="s">
        <v>377</v>
      </c>
      <c r="D24" s="62" t="s">
        <v>378</v>
      </c>
      <c r="E24" s="63" t="s">
        <v>379</v>
      </c>
      <c r="F24" s="63" t="s">
        <v>204</v>
      </c>
      <c r="G24" s="64" t="s">
        <v>100</v>
      </c>
      <c r="H24" s="65" t="s">
        <v>380</v>
      </c>
      <c r="I24" s="65"/>
      <c r="J24" s="64" t="s">
        <v>113</v>
      </c>
      <c r="K24" s="62" t="s">
        <v>381</v>
      </c>
      <c r="L24" s="66"/>
      <c r="M24" s="67">
        <v>3</v>
      </c>
      <c r="N24" s="43" t="s">
        <v>382</v>
      </c>
    </row>
    <row r="25" spans="2:14" ht="45" customHeight="1" x14ac:dyDescent="0.25">
      <c r="B25" s="52" t="s">
        <v>383</v>
      </c>
      <c r="C25" s="53" t="s">
        <v>384</v>
      </c>
      <c r="D25" s="54" t="s">
        <v>385</v>
      </c>
      <c r="E25" s="55" t="s">
        <v>379</v>
      </c>
      <c r="F25" s="55" t="s">
        <v>185</v>
      </c>
      <c r="G25" s="56" t="s">
        <v>100</v>
      </c>
      <c r="H25" s="57" t="s">
        <v>380</v>
      </c>
      <c r="I25" s="57"/>
      <c r="J25" s="56" t="s">
        <v>113</v>
      </c>
      <c r="K25" s="54" t="s">
        <v>386</v>
      </c>
      <c r="L25" s="58"/>
      <c r="M25" s="59">
        <v>2</v>
      </c>
      <c r="N25" s="43" t="s">
        <v>387</v>
      </c>
    </row>
    <row r="26" spans="2:14" ht="45" customHeight="1" x14ac:dyDescent="0.25">
      <c r="B26" s="60" t="s">
        <v>388</v>
      </c>
      <c r="C26" s="61" t="s">
        <v>389</v>
      </c>
      <c r="D26" s="62" t="s">
        <v>390</v>
      </c>
      <c r="E26" s="63" t="s">
        <v>379</v>
      </c>
      <c r="F26" s="63" t="s">
        <v>178</v>
      </c>
      <c r="G26" s="64" t="s">
        <v>100</v>
      </c>
      <c r="H26" s="65" t="s">
        <v>332</v>
      </c>
      <c r="I26" s="65"/>
      <c r="J26" s="64" t="s">
        <v>113</v>
      </c>
      <c r="K26" s="62" t="s">
        <v>391</v>
      </c>
      <c r="L26" s="66"/>
      <c r="M26" s="67">
        <v>3</v>
      </c>
      <c r="N26" s="43" t="s">
        <v>392</v>
      </c>
    </row>
    <row r="27" spans="2:14" ht="45" customHeight="1" x14ac:dyDescent="0.25">
      <c r="B27" s="52" t="s">
        <v>393</v>
      </c>
      <c r="C27" s="53" t="s">
        <v>394</v>
      </c>
      <c r="D27" s="54" t="s">
        <v>395</v>
      </c>
      <c r="E27" s="55" t="s">
        <v>379</v>
      </c>
      <c r="F27" s="55" t="s">
        <v>204</v>
      </c>
      <c r="G27" s="56" t="s">
        <v>100</v>
      </c>
      <c r="H27" s="57" t="s">
        <v>332</v>
      </c>
      <c r="I27" s="57"/>
      <c r="J27" s="56" t="s">
        <v>115</v>
      </c>
      <c r="K27" s="54" t="s">
        <v>396</v>
      </c>
      <c r="L27" s="58"/>
      <c r="M27" s="59">
        <v>2</v>
      </c>
      <c r="N27" s="43" t="s">
        <v>397</v>
      </c>
    </row>
  </sheetData>
  <mergeCells count="6">
    <mergeCell ref="B16:N16"/>
    <mergeCell ref="B23:N23"/>
    <mergeCell ref="B1:N1"/>
    <mergeCell ref="B6:N6"/>
    <mergeCell ref="B3:N3"/>
    <mergeCell ref="B2:N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27"/>
  <sheetViews>
    <sheetView workbookViewId="0">
      <pane xSplit="1" ySplit="5" topLeftCell="B7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7" customWidth="1"/>
    <col min="3" max="3" width="28" customWidth="1"/>
    <col min="4" max="4" width="55" customWidth="1"/>
    <col min="5" max="5" width="18" customWidth="1"/>
    <col min="6" max="6" width="16" customWidth="1"/>
    <col min="7" max="7" width="14" customWidth="1"/>
    <col min="8" max="9" width="12" customWidth="1"/>
    <col min="10" max="10" width="14" customWidth="1"/>
    <col min="11" max="12" width="35" customWidth="1"/>
    <col min="13" max="13" width="10" customWidth="1"/>
    <col min="14" max="14" width="35" customWidth="1"/>
  </cols>
  <sheetData>
    <row r="1" spans="2:14" ht="27.95" customHeight="1" x14ac:dyDescent="0.25">
      <c r="B1" s="97" t="s">
        <v>398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2:14" ht="15.95" customHeight="1" x14ac:dyDescent="0.25">
      <c r="B2" s="96" t="s">
        <v>399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2:14" ht="35.1" customHeight="1" x14ac:dyDescent="0.25">
      <c r="B3" s="102" t="s">
        <v>400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</row>
    <row r="4" spans="2:14" ht="6" customHeight="1" x14ac:dyDescent="0.25"/>
    <row r="5" spans="2:14" ht="21.95" customHeight="1" x14ac:dyDescent="0.25">
      <c r="B5" s="33" t="s">
        <v>161</v>
      </c>
      <c r="C5" s="33" t="s">
        <v>162</v>
      </c>
      <c r="D5" s="33" t="s">
        <v>163</v>
      </c>
      <c r="E5" s="33" t="s">
        <v>164</v>
      </c>
      <c r="F5" s="33" t="s">
        <v>165</v>
      </c>
      <c r="G5" s="33" t="s">
        <v>6</v>
      </c>
      <c r="H5" s="33" t="s">
        <v>166</v>
      </c>
      <c r="I5" s="33" t="s">
        <v>167</v>
      </c>
      <c r="J5" s="33" t="s">
        <v>168</v>
      </c>
      <c r="K5" s="33" t="s">
        <v>169</v>
      </c>
      <c r="L5" s="33" t="s">
        <v>170</v>
      </c>
      <c r="M5" s="33" t="s">
        <v>171</v>
      </c>
      <c r="N5" s="34" t="s">
        <v>172</v>
      </c>
    </row>
    <row r="6" spans="2:14" ht="18" customHeight="1" x14ac:dyDescent="0.25">
      <c r="B6" s="101" t="s">
        <v>401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</row>
    <row r="7" spans="2:14" ht="45" customHeight="1" x14ac:dyDescent="0.25">
      <c r="B7" s="60" t="s">
        <v>402</v>
      </c>
      <c r="C7" s="61" t="s">
        <v>403</v>
      </c>
      <c r="D7" s="62" t="s">
        <v>404</v>
      </c>
      <c r="E7" s="63" t="s">
        <v>405</v>
      </c>
      <c r="F7" s="63" t="s">
        <v>204</v>
      </c>
      <c r="G7" s="64" t="s">
        <v>100</v>
      </c>
      <c r="H7" s="65" t="s">
        <v>406</v>
      </c>
      <c r="I7" s="65"/>
      <c r="J7" s="64" t="s">
        <v>111</v>
      </c>
      <c r="K7" s="62" t="s">
        <v>407</v>
      </c>
      <c r="L7" s="66"/>
      <c r="M7" s="67">
        <v>3</v>
      </c>
      <c r="N7" s="43" t="s">
        <v>408</v>
      </c>
    </row>
    <row r="8" spans="2:14" ht="45" customHeight="1" x14ac:dyDescent="0.25">
      <c r="B8" s="52" t="s">
        <v>409</v>
      </c>
      <c r="C8" s="53" t="s">
        <v>410</v>
      </c>
      <c r="D8" s="54" t="s">
        <v>411</v>
      </c>
      <c r="E8" s="55" t="s">
        <v>405</v>
      </c>
      <c r="F8" s="55" t="s">
        <v>204</v>
      </c>
      <c r="G8" s="56" t="s">
        <v>100</v>
      </c>
      <c r="H8" s="57" t="s">
        <v>406</v>
      </c>
      <c r="I8" s="57"/>
      <c r="J8" s="56" t="s">
        <v>111</v>
      </c>
      <c r="K8" s="54" t="s">
        <v>412</v>
      </c>
      <c r="L8" s="58"/>
      <c r="M8" s="59">
        <v>2</v>
      </c>
      <c r="N8" s="43"/>
    </row>
    <row r="9" spans="2:14" ht="45" customHeight="1" x14ac:dyDescent="0.25">
      <c r="B9" s="60" t="s">
        <v>413</v>
      </c>
      <c r="C9" s="61" t="s">
        <v>414</v>
      </c>
      <c r="D9" s="62" t="s">
        <v>415</v>
      </c>
      <c r="E9" s="63" t="s">
        <v>405</v>
      </c>
      <c r="F9" s="63" t="s">
        <v>204</v>
      </c>
      <c r="G9" s="64" t="s">
        <v>100</v>
      </c>
      <c r="H9" s="65" t="s">
        <v>416</v>
      </c>
      <c r="I9" s="65"/>
      <c r="J9" s="64" t="s">
        <v>111</v>
      </c>
      <c r="K9" s="62" t="s">
        <v>417</v>
      </c>
      <c r="L9" s="66"/>
      <c r="M9" s="67">
        <v>4</v>
      </c>
      <c r="N9" s="43" t="s">
        <v>418</v>
      </c>
    </row>
    <row r="10" spans="2:14" ht="45" customHeight="1" x14ac:dyDescent="0.25">
      <c r="B10" s="52" t="s">
        <v>419</v>
      </c>
      <c r="C10" s="53" t="s">
        <v>420</v>
      </c>
      <c r="D10" s="54" t="s">
        <v>421</v>
      </c>
      <c r="E10" s="55" t="s">
        <v>405</v>
      </c>
      <c r="F10" s="55" t="s">
        <v>204</v>
      </c>
      <c r="G10" s="56" t="s">
        <v>100</v>
      </c>
      <c r="H10" s="57" t="s">
        <v>416</v>
      </c>
      <c r="I10" s="57"/>
      <c r="J10" s="56" t="s">
        <v>113</v>
      </c>
      <c r="K10" s="54" t="s">
        <v>422</v>
      </c>
      <c r="L10" s="58"/>
      <c r="M10" s="59">
        <v>2</v>
      </c>
      <c r="N10" s="43" t="s">
        <v>423</v>
      </c>
    </row>
    <row r="11" spans="2:14" ht="45" customHeight="1" x14ac:dyDescent="0.25">
      <c r="B11" s="60" t="s">
        <v>424</v>
      </c>
      <c r="C11" s="61" t="s">
        <v>425</v>
      </c>
      <c r="D11" s="62" t="s">
        <v>426</v>
      </c>
      <c r="E11" s="63" t="s">
        <v>405</v>
      </c>
      <c r="F11" s="63" t="s">
        <v>427</v>
      </c>
      <c r="G11" s="64" t="s">
        <v>100</v>
      </c>
      <c r="H11" s="65" t="s">
        <v>428</v>
      </c>
      <c r="I11" s="65"/>
      <c r="J11" s="64" t="s">
        <v>113</v>
      </c>
      <c r="K11" s="62" t="s">
        <v>429</v>
      </c>
      <c r="L11" s="66"/>
      <c r="M11" s="67">
        <v>6</v>
      </c>
      <c r="N11" s="43" t="s">
        <v>430</v>
      </c>
    </row>
    <row r="12" spans="2:14" ht="45" customHeight="1" x14ac:dyDescent="0.25">
      <c r="B12" s="52" t="s">
        <v>431</v>
      </c>
      <c r="C12" s="53" t="s">
        <v>432</v>
      </c>
      <c r="D12" s="54" t="s">
        <v>433</v>
      </c>
      <c r="E12" s="55" t="s">
        <v>405</v>
      </c>
      <c r="F12" s="55" t="s">
        <v>204</v>
      </c>
      <c r="G12" s="56" t="s">
        <v>100</v>
      </c>
      <c r="H12" s="57" t="s">
        <v>434</v>
      </c>
      <c r="I12" s="57"/>
      <c r="J12" s="56" t="s">
        <v>115</v>
      </c>
      <c r="K12" s="54" t="s">
        <v>435</v>
      </c>
      <c r="L12" s="58"/>
      <c r="M12" s="59">
        <v>2</v>
      </c>
      <c r="N12" s="43"/>
    </row>
    <row r="13" spans="2:14" ht="45" customHeight="1" x14ac:dyDescent="0.25">
      <c r="B13" s="60" t="s">
        <v>436</v>
      </c>
      <c r="C13" s="61" t="s">
        <v>437</v>
      </c>
      <c r="D13" s="62" t="s">
        <v>438</v>
      </c>
      <c r="E13" s="63" t="s">
        <v>405</v>
      </c>
      <c r="F13" s="63" t="s">
        <v>204</v>
      </c>
      <c r="G13" s="64" t="s">
        <v>100</v>
      </c>
      <c r="H13" s="65" t="s">
        <v>439</v>
      </c>
      <c r="I13" s="65"/>
      <c r="J13" s="64" t="s">
        <v>111</v>
      </c>
      <c r="K13" s="62" t="s">
        <v>440</v>
      </c>
      <c r="L13" s="66"/>
      <c r="M13" s="67">
        <v>2</v>
      </c>
      <c r="N13" s="43"/>
    </row>
    <row r="15" spans="2:14" ht="18" customHeight="1" x14ac:dyDescent="0.25">
      <c r="B15" s="101" t="s">
        <v>441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</row>
    <row r="16" spans="2:14" ht="45" customHeight="1" x14ac:dyDescent="0.25">
      <c r="B16" s="60" t="s">
        <v>442</v>
      </c>
      <c r="C16" s="61" t="s">
        <v>443</v>
      </c>
      <c r="D16" s="62" t="s">
        <v>444</v>
      </c>
      <c r="E16" s="63" t="s">
        <v>445</v>
      </c>
      <c r="F16" s="63" t="s">
        <v>185</v>
      </c>
      <c r="G16" s="64" t="s">
        <v>100</v>
      </c>
      <c r="H16" s="65" t="s">
        <v>446</v>
      </c>
      <c r="I16" s="65"/>
      <c r="J16" s="64" t="s">
        <v>111</v>
      </c>
      <c r="K16" s="62" t="s">
        <v>447</v>
      </c>
      <c r="L16" s="66"/>
      <c r="M16" s="67">
        <v>3</v>
      </c>
      <c r="N16" s="43" t="s">
        <v>448</v>
      </c>
    </row>
    <row r="17" spans="2:14" ht="45" customHeight="1" x14ac:dyDescent="0.25">
      <c r="B17" s="52" t="s">
        <v>449</v>
      </c>
      <c r="C17" s="53" t="s">
        <v>450</v>
      </c>
      <c r="D17" s="54" t="s">
        <v>451</v>
      </c>
      <c r="E17" s="55" t="s">
        <v>445</v>
      </c>
      <c r="F17" s="55" t="s">
        <v>204</v>
      </c>
      <c r="G17" s="56" t="s">
        <v>100</v>
      </c>
      <c r="H17" s="57" t="s">
        <v>428</v>
      </c>
      <c r="I17" s="57"/>
      <c r="J17" s="56" t="s">
        <v>111</v>
      </c>
      <c r="K17" s="54" t="s">
        <v>452</v>
      </c>
      <c r="L17" s="58"/>
      <c r="M17" s="59">
        <v>2</v>
      </c>
      <c r="N17" s="43" t="s">
        <v>453</v>
      </c>
    </row>
    <row r="18" spans="2:14" ht="45" customHeight="1" x14ac:dyDescent="0.25">
      <c r="B18" s="60" t="s">
        <v>454</v>
      </c>
      <c r="C18" s="61" t="s">
        <v>455</v>
      </c>
      <c r="D18" s="62" t="s">
        <v>456</v>
      </c>
      <c r="E18" s="63" t="s">
        <v>445</v>
      </c>
      <c r="F18" s="63" t="s">
        <v>178</v>
      </c>
      <c r="G18" s="64" t="s">
        <v>100</v>
      </c>
      <c r="H18" s="65" t="s">
        <v>457</v>
      </c>
      <c r="I18" s="65"/>
      <c r="J18" s="64" t="s">
        <v>111</v>
      </c>
      <c r="K18" s="62" t="s">
        <v>458</v>
      </c>
      <c r="L18" s="66"/>
      <c r="M18" s="67">
        <v>3</v>
      </c>
      <c r="N18" s="43" t="s">
        <v>459</v>
      </c>
    </row>
    <row r="19" spans="2:14" ht="45" customHeight="1" x14ac:dyDescent="0.25">
      <c r="B19" s="52" t="s">
        <v>460</v>
      </c>
      <c r="C19" s="53" t="s">
        <v>461</v>
      </c>
      <c r="D19" s="54" t="s">
        <v>462</v>
      </c>
      <c r="E19" s="55" t="s">
        <v>445</v>
      </c>
      <c r="F19" s="55" t="s">
        <v>178</v>
      </c>
      <c r="G19" s="56" t="s">
        <v>100</v>
      </c>
      <c r="H19" s="57" t="s">
        <v>57</v>
      </c>
      <c r="I19" s="57"/>
      <c r="J19" s="56" t="s">
        <v>111</v>
      </c>
      <c r="K19" s="54" t="s">
        <v>463</v>
      </c>
      <c r="L19" s="58"/>
      <c r="M19" s="59">
        <v>2</v>
      </c>
      <c r="N19" s="43" t="s">
        <v>464</v>
      </c>
    </row>
    <row r="20" spans="2:14" ht="45" customHeight="1" x14ac:dyDescent="0.25">
      <c r="B20" s="60" t="s">
        <v>465</v>
      </c>
      <c r="C20" s="61" t="s">
        <v>466</v>
      </c>
      <c r="D20" s="62" t="s">
        <v>467</v>
      </c>
      <c r="E20" s="63" t="s">
        <v>445</v>
      </c>
      <c r="F20" s="63" t="s">
        <v>178</v>
      </c>
      <c r="G20" s="64" t="s">
        <v>100</v>
      </c>
      <c r="H20" s="65" t="s">
        <v>468</v>
      </c>
      <c r="I20" s="65"/>
      <c r="J20" s="64" t="s">
        <v>113</v>
      </c>
      <c r="K20" s="62" t="s">
        <v>469</v>
      </c>
      <c r="L20" s="66"/>
      <c r="M20" s="67">
        <v>1</v>
      </c>
      <c r="N20" s="43" t="s">
        <v>470</v>
      </c>
    </row>
    <row r="21" spans="2:14" ht="45" customHeight="1" x14ac:dyDescent="0.25">
      <c r="B21" s="52" t="s">
        <v>471</v>
      </c>
      <c r="C21" s="53" t="s">
        <v>472</v>
      </c>
      <c r="D21" s="54" t="s">
        <v>473</v>
      </c>
      <c r="E21" s="55" t="s">
        <v>445</v>
      </c>
      <c r="F21" s="55" t="s">
        <v>178</v>
      </c>
      <c r="G21" s="56" t="s">
        <v>100</v>
      </c>
      <c r="H21" s="57" t="s">
        <v>439</v>
      </c>
      <c r="I21" s="57"/>
      <c r="J21" s="56" t="s">
        <v>113</v>
      </c>
      <c r="K21" s="54" t="s">
        <v>474</v>
      </c>
      <c r="L21" s="58"/>
      <c r="M21" s="59">
        <v>3</v>
      </c>
      <c r="N21" s="43" t="s">
        <v>475</v>
      </c>
    </row>
    <row r="23" spans="2:14" ht="18" customHeight="1" x14ac:dyDescent="0.25">
      <c r="B23" s="101" t="s">
        <v>476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</row>
    <row r="24" spans="2:14" ht="45" customHeight="1" x14ac:dyDescent="0.25">
      <c r="B24" s="60" t="s">
        <v>477</v>
      </c>
      <c r="C24" s="61" t="s">
        <v>478</v>
      </c>
      <c r="D24" s="62" t="s">
        <v>479</v>
      </c>
      <c r="E24" s="63" t="s">
        <v>480</v>
      </c>
      <c r="F24" s="63" t="s">
        <v>481</v>
      </c>
      <c r="G24" s="64" t="s">
        <v>100</v>
      </c>
      <c r="H24" s="65" t="s">
        <v>434</v>
      </c>
      <c r="I24" s="65"/>
      <c r="J24" s="64" t="s">
        <v>111</v>
      </c>
      <c r="K24" s="62" t="s">
        <v>482</v>
      </c>
      <c r="L24" s="66"/>
      <c r="M24" s="67">
        <v>2</v>
      </c>
      <c r="N24" s="43"/>
    </row>
    <row r="25" spans="2:14" ht="45" customHeight="1" x14ac:dyDescent="0.25">
      <c r="B25" s="52" t="s">
        <v>483</v>
      </c>
      <c r="C25" s="53" t="s">
        <v>484</v>
      </c>
      <c r="D25" s="54" t="s">
        <v>485</v>
      </c>
      <c r="E25" s="55" t="s">
        <v>480</v>
      </c>
      <c r="F25" s="55" t="s">
        <v>427</v>
      </c>
      <c r="G25" s="56" t="s">
        <v>100</v>
      </c>
      <c r="H25" s="57" t="s">
        <v>457</v>
      </c>
      <c r="I25" s="57"/>
      <c r="J25" s="56" t="s">
        <v>111</v>
      </c>
      <c r="K25" s="54" t="s">
        <v>486</v>
      </c>
      <c r="L25" s="58"/>
      <c r="M25" s="59">
        <v>4</v>
      </c>
      <c r="N25" s="43" t="s">
        <v>487</v>
      </c>
    </row>
    <row r="26" spans="2:14" ht="45" customHeight="1" x14ac:dyDescent="0.25">
      <c r="B26" s="60" t="s">
        <v>488</v>
      </c>
      <c r="C26" s="61" t="s">
        <v>489</v>
      </c>
      <c r="D26" s="62" t="s">
        <v>490</v>
      </c>
      <c r="E26" s="63" t="s">
        <v>480</v>
      </c>
      <c r="F26" s="63" t="s">
        <v>204</v>
      </c>
      <c r="G26" s="64" t="s">
        <v>100</v>
      </c>
      <c r="H26" s="65" t="s">
        <v>57</v>
      </c>
      <c r="I26" s="65"/>
      <c r="J26" s="64" t="s">
        <v>113</v>
      </c>
      <c r="K26" s="62" t="s">
        <v>491</v>
      </c>
      <c r="L26" s="66"/>
      <c r="M26" s="67">
        <v>4</v>
      </c>
      <c r="N26" s="43" t="s">
        <v>492</v>
      </c>
    </row>
    <row r="27" spans="2:14" ht="45" customHeight="1" x14ac:dyDescent="0.25">
      <c r="B27" s="52" t="s">
        <v>493</v>
      </c>
      <c r="C27" s="53" t="s">
        <v>494</v>
      </c>
      <c r="D27" s="54" t="s">
        <v>495</v>
      </c>
      <c r="E27" s="55" t="s">
        <v>480</v>
      </c>
      <c r="F27" s="55" t="s">
        <v>204</v>
      </c>
      <c r="G27" s="56" t="s">
        <v>100</v>
      </c>
      <c r="H27" s="57" t="s">
        <v>496</v>
      </c>
      <c r="I27" s="57"/>
      <c r="J27" s="56" t="s">
        <v>113</v>
      </c>
      <c r="K27" s="54" t="s">
        <v>497</v>
      </c>
      <c r="L27" s="58"/>
      <c r="M27" s="59">
        <v>2</v>
      </c>
      <c r="N27" s="43" t="s">
        <v>498</v>
      </c>
    </row>
  </sheetData>
  <mergeCells count="6">
    <mergeCell ref="B23:N23"/>
    <mergeCell ref="B1:N1"/>
    <mergeCell ref="B15:N15"/>
    <mergeCell ref="B6:N6"/>
    <mergeCell ref="B3:N3"/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22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7" customWidth="1"/>
    <col min="3" max="3" width="28" customWidth="1"/>
    <col min="4" max="4" width="55" customWidth="1"/>
    <col min="5" max="5" width="18" customWidth="1"/>
    <col min="6" max="6" width="16" customWidth="1"/>
    <col min="7" max="7" width="14" customWidth="1"/>
    <col min="8" max="9" width="12" customWidth="1"/>
    <col min="10" max="10" width="14" customWidth="1"/>
    <col min="11" max="12" width="35" customWidth="1"/>
    <col min="13" max="13" width="10" customWidth="1"/>
    <col min="14" max="14" width="35" customWidth="1"/>
  </cols>
  <sheetData>
    <row r="1" spans="2:14" ht="27.95" customHeight="1" x14ac:dyDescent="0.25">
      <c r="B1" s="97" t="s">
        <v>499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2:14" ht="15.95" customHeight="1" x14ac:dyDescent="0.25">
      <c r="B2" s="96" t="s">
        <v>500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2:14" ht="35.1" customHeight="1" x14ac:dyDescent="0.25">
      <c r="B3" s="102" t="s">
        <v>501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</row>
    <row r="4" spans="2:14" ht="6" customHeight="1" x14ac:dyDescent="0.25"/>
    <row r="5" spans="2:14" ht="21.95" customHeight="1" x14ac:dyDescent="0.25">
      <c r="B5" s="33" t="s">
        <v>161</v>
      </c>
      <c r="C5" s="33" t="s">
        <v>162</v>
      </c>
      <c r="D5" s="33" t="s">
        <v>163</v>
      </c>
      <c r="E5" s="33" t="s">
        <v>164</v>
      </c>
      <c r="F5" s="33" t="s">
        <v>165</v>
      </c>
      <c r="G5" s="33" t="s">
        <v>6</v>
      </c>
      <c r="H5" s="33" t="s">
        <v>166</v>
      </c>
      <c r="I5" s="33" t="s">
        <v>167</v>
      </c>
      <c r="J5" s="33" t="s">
        <v>168</v>
      </c>
      <c r="K5" s="33" t="s">
        <v>169</v>
      </c>
      <c r="L5" s="33" t="s">
        <v>170</v>
      </c>
      <c r="M5" s="33" t="s">
        <v>171</v>
      </c>
      <c r="N5" s="34" t="s">
        <v>172</v>
      </c>
    </row>
    <row r="6" spans="2:14" ht="18" customHeight="1" x14ac:dyDescent="0.25">
      <c r="B6" s="101" t="s">
        <v>502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</row>
    <row r="7" spans="2:14" ht="45" customHeight="1" x14ac:dyDescent="0.25">
      <c r="B7" s="60" t="s">
        <v>503</v>
      </c>
      <c r="C7" s="61" t="s">
        <v>504</v>
      </c>
      <c r="D7" s="62" t="s">
        <v>505</v>
      </c>
      <c r="E7" s="63" t="s">
        <v>506</v>
      </c>
      <c r="F7" s="63" t="s">
        <v>204</v>
      </c>
      <c r="G7" s="64" t="s">
        <v>100</v>
      </c>
      <c r="H7" s="65" t="s">
        <v>64</v>
      </c>
      <c r="I7" s="65"/>
      <c r="J7" s="64" t="s">
        <v>111</v>
      </c>
      <c r="K7" s="62" t="s">
        <v>507</v>
      </c>
      <c r="L7" s="66"/>
      <c r="M7" s="67">
        <v>3</v>
      </c>
      <c r="N7" s="43" t="s">
        <v>508</v>
      </c>
    </row>
    <row r="8" spans="2:14" ht="45" customHeight="1" x14ac:dyDescent="0.25">
      <c r="B8" s="52" t="s">
        <v>509</v>
      </c>
      <c r="C8" s="53" t="s">
        <v>510</v>
      </c>
      <c r="D8" s="54" t="s">
        <v>511</v>
      </c>
      <c r="E8" s="55" t="s">
        <v>506</v>
      </c>
      <c r="F8" s="55" t="s">
        <v>372</v>
      </c>
      <c r="G8" s="56" t="s">
        <v>100</v>
      </c>
      <c r="H8" s="57" t="s">
        <v>512</v>
      </c>
      <c r="I8" s="57"/>
      <c r="J8" s="56" t="s">
        <v>111</v>
      </c>
      <c r="K8" s="54" t="s">
        <v>513</v>
      </c>
      <c r="L8" s="58"/>
      <c r="M8" s="59">
        <v>4</v>
      </c>
      <c r="N8" s="43"/>
    </row>
    <row r="9" spans="2:14" ht="45" customHeight="1" x14ac:dyDescent="0.25">
      <c r="B9" s="60" t="s">
        <v>514</v>
      </c>
      <c r="C9" s="61" t="s">
        <v>515</v>
      </c>
      <c r="D9" s="62" t="s">
        <v>516</v>
      </c>
      <c r="E9" s="63" t="s">
        <v>506</v>
      </c>
      <c r="F9" s="63" t="s">
        <v>185</v>
      </c>
      <c r="G9" s="64" t="s">
        <v>100</v>
      </c>
      <c r="H9" s="65" t="s">
        <v>517</v>
      </c>
      <c r="I9" s="65"/>
      <c r="J9" s="64" t="s">
        <v>111</v>
      </c>
      <c r="K9" s="62" t="s">
        <v>518</v>
      </c>
      <c r="L9" s="66"/>
      <c r="M9" s="67">
        <v>3</v>
      </c>
      <c r="N9" s="43" t="s">
        <v>519</v>
      </c>
    </row>
    <row r="10" spans="2:14" ht="45" customHeight="1" x14ac:dyDescent="0.25">
      <c r="B10" s="52" t="s">
        <v>520</v>
      </c>
      <c r="C10" s="53" t="s">
        <v>521</v>
      </c>
      <c r="D10" s="54" t="s">
        <v>522</v>
      </c>
      <c r="E10" s="55" t="s">
        <v>506</v>
      </c>
      <c r="F10" s="55" t="s">
        <v>178</v>
      </c>
      <c r="G10" s="56" t="s">
        <v>100</v>
      </c>
      <c r="H10" s="57" t="s">
        <v>517</v>
      </c>
      <c r="I10" s="57"/>
      <c r="J10" s="56" t="s">
        <v>111</v>
      </c>
      <c r="K10" s="54" t="s">
        <v>523</v>
      </c>
      <c r="L10" s="58"/>
      <c r="M10" s="59">
        <v>8</v>
      </c>
      <c r="N10" s="43" t="s">
        <v>524</v>
      </c>
    </row>
    <row r="11" spans="2:14" ht="45" customHeight="1" x14ac:dyDescent="0.25">
      <c r="B11" s="60" t="s">
        <v>525</v>
      </c>
      <c r="C11" s="61" t="s">
        <v>526</v>
      </c>
      <c r="D11" s="62" t="s">
        <v>527</v>
      </c>
      <c r="E11" s="63" t="s">
        <v>506</v>
      </c>
      <c r="F11" s="63" t="s">
        <v>204</v>
      </c>
      <c r="G11" s="64" t="s">
        <v>100</v>
      </c>
      <c r="H11" s="65" t="s">
        <v>517</v>
      </c>
      <c r="I11" s="65"/>
      <c r="J11" s="64" t="s">
        <v>113</v>
      </c>
      <c r="K11" s="62" t="s">
        <v>528</v>
      </c>
      <c r="L11" s="66"/>
      <c r="M11" s="67">
        <v>2</v>
      </c>
      <c r="N11" s="43" t="s">
        <v>529</v>
      </c>
    </row>
    <row r="13" spans="2:14" ht="18" customHeight="1" x14ac:dyDescent="0.25">
      <c r="B13" s="101" t="s">
        <v>530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</row>
    <row r="14" spans="2:14" ht="45" customHeight="1" x14ac:dyDescent="0.25">
      <c r="B14" s="60" t="s">
        <v>531</v>
      </c>
      <c r="C14" s="61" t="s">
        <v>532</v>
      </c>
      <c r="D14" s="62" t="s">
        <v>533</v>
      </c>
      <c r="E14" s="63" t="s">
        <v>534</v>
      </c>
      <c r="F14" s="63" t="s">
        <v>185</v>
      </c>
      <c r="G14" s="64" t="s">
        <v>100</v>
      </c>
      <c r="H14" s="65" t="s">
        <v>61</v>
      </c>
      <c r="I14" s="65"/>
      <c r="J14" s="64" t="s">
        <v>111</v>
      </c>
      <c r="K14" s="62" t="s">
        <v>535</v>
      </c>
      <c r="L14" s="66"/>
      <c r="M14" s="67">
        <v>4</v>
      </c>
      <c r="N14" s="43" t="s">
        <v>536</v>
      </c>
    </row>
    <row r="15" spans="2:14" ht="45" customHeight="1" x14ac:dyDescent="0.25">
      <c r="B15" s="52" t="s">
        <v>537</v>
      </c>
      <c r="C15" s="53" t="s">
        <v>538</v>
      </c>
      <c r="D15" s="54" t="s">
        <v>539</v>
      </c>
      <c r="E15" s="55" t="s">
        <v>534</v>
      </c>
      <c r="F15" s="55" t="s">
        <v>204</v>
      </c>
      <c r="G15" s="56" t="s">
        <v>100</v>
      </c>
      <c r="H15" s="57" t="s">
        <v>61</v>
      </c>
      <c r="I15" s="57"/>
      <c r="J15" s="56" t="s">
        <v>111</v>
      </c>
      <c r="K15" s="54" t="s">
        <v>540</v>
      </c>
      <c r="L15" s="58"/>
      <c r="M15" s="59">
        <v>4</v>
      </c>
      <c r="N15" s="43" t="s">
        <v>541</v>
      </c>
    </row>
    <row r="16" spans="2:14" ht="45" customHeight="1" x14ac:dyDescent="0.25">
      <c r="B16" s="60" t="s">
        <v>542</v>
      </c>
      <c r="C16" s="61" t="s">
        <v>543</v>
      </c>
      <c r="D16" s="62" t="s">
        <v>544</v>
      </c>
      <c r="E16" s="63" t="s">
        <v>534</v>
      </c>
      <c r="F16" s="63" t="s">
        <v>178</v>
      </c>
      <c r="G16" s="64" t="s">
        <v>100</v>
      </c>
      <c r="H16" s="65" t="s">
        <v>61</v>
      </c>
      <c r="I16" s="65"/>
      <c r="J16" s="64" t="s">
        <v>113</v>
      </c>
      <c r="K16" s="62" t="s">
        <v>545</v>
      </c>
      <c r="L16" s="66"/>
      <c r="M16" s="67">
        <v>3</v>
      </c>
      <c r="N16" s="43" t="s">
        <v>546</v>
      </c>
    </row>
    <row r="17" spans="2:14" ht="45" customHeight="1" x14ac:dyDescent="0.25">
      <c r="B17" s="52" t="s">
        <v>547</v>
      </c>
      <c r="C17" s="53" t="s">
        <v>548</v>
      </c>
      <c r="D17" s="54" t="s">
        <v>549</v>
      </c>
      <c r="E17" s="55" t="s">
        <v>534</v>
      </c>
      <c r="F17" s="55" t="s">
        <v>550</v>
      </c>
      <c r="G17" s="56" t="s">
        <v>100</v>
      </c>
      <c r="H17" s="57" t="s">
        <v>61</v>
      </c>
      <c r="I17" s="57"/>
      <c r="J17" s="56" t="s">
        <v>111</v>
      </c>
      <c r="K17" s="54" t="s">
        <v>551</v>
      </c>
      <c r="L17" s="58"/>
      <c r="M17" s="59">
        <v>1</v>
      </c>
      <c r="N17" s="43"/>
    </row>
    <row r="19" spans="2:14" ht="18" customHeight="1" x14ac:dyDescent="0.25">
      <c r="B19" s="101" t="s">
        <v>552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</row>
    <row r="20" spans="2:14" ht="45" customHeight="1" x14ac:dyDescent="0.25">
      <c r="B20" s="60" t="s">
        <v>553</v>
      </c>
      <c r="C20" s="61" t="s">
        <v>554</v>
      </c>
      <c r="D20" s="62" t="s">
        <v>555</v>
      </c>
      <c r="E20" s="63" t="s">
        <v>556</v>
      </c>
      <c r="F20" s="63" t="s">
        <v>204</v>
      </c>
      <c r="G20" s="64" t="s">
        <v>100</v>
      </c>
      <c r="H20" s="65" t="s">
        <v>517</v>
      </c>
      <c r="I20" s="65"/>
      <c r="J20" s="64" t="s">
        <v>113</v>
      </c>
      <c r="K20" s="62" t="s">
        <v>557</v>
      </c>
      <c r="L20" s="66"/>
      <c r="M20" s="67">
        <v>4</v>
      </c>
      <c r="N20" s="43" t="s">
        <v>558</v>
      </c>
    </row>
    <row r="21" spans="2:14" ht="45" customHeight="1" x14ac:dyDescent="0.25">
      <c r="B21" s="52" t="s">
        <v>559</v>
      </c>
      <c r="C21" s="53" t="s">
        <v>560</v>
      </c>
      <c r="D21" s="54" t="s">
        <v>561</v>
      </c>
      <c r="E21" s="55" t="s">
        <v>562</v>
      </c>
      <c r="F21" s="55" t="s">
        <v>178</v>
      </c>
      <c r="G21" s="56" t="s">
        <v>100</v>
      </c>
      <c r="H21" s="57" t="s">
        <v>61</v>
      </c>
      <c r="I21" s="57"/>
      <c r="J21" s="56" t="s">
        <v>111</v>
      </c>
      <c r="K21" s="54" t="s">
        <v>563</v>
      </c>
      <c r="L21" s="58"/>
      <c r="M21" s="59">
        <v>6</v>
      </c>
      <c r="N21" s="43" t="s">
        <v>564</v>
      </c>
    </row>
    <row r="22" spans="2:14" ht="45" customHeight="1" x14ac:dyDescent="0.25">
      <c r="B22" s="60" t="s">
        <v>565</v>
      </c>
      <c r="C22" s="61" t="s">
        <v>566</v>
      </c>
      <c r="D22" s="62" t="s">
        <v>567</v>
      </c>
      <c r="E22" s="63" t="s">
        <v>568</v>
      </c>
      <c r="F22" s="63" t="s">
        <v>178</v>
      </c>
      <c r="G22" s="64" t="s">
        <v>100</v>
      </c>
      <c r="H22" s="65" t="s">
        <v>61</v>
      </c>
      <c r="I22" s="65"/>
      <c r="J22" s="64" t="s">
        <v>113</v>
      </c>
      <c r="K22" s="62" t="s">
        <v>523</v>
      </c>
      <c r="L22" s="66"/>
      <c r="M22" s="67">
        <v>4</v>
      </c>
      <c r="N22" s="43" t="s">
        <v>569</v>
      </c>
    </row>
  </sheetData>
  <mergeCells count="6">
    <mergeCell ref="B1:N1"/>
    <mergeCell ref="B13:N13"/>
    <mergeCell ref="B19:N19"/>
    <mergeCell ref="B6:N6"/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7" customWidth="1"/>
    <col min="3" max="3" width="28" customWidth="1"/>
    <col min="4" max="4" width="55" customWidth="1"/>
    <col min="5" max="5" width="18" customWidth="1"/>
    <col min="6" max="6" width="16" customWidth="1"/>
    <col min="7" max="7" width="14" customWidth="1"/>
    <col min="8" max="9" width="12" customWidth="1"/>
    <col min="10" max="10" width="14" customWidth="1"/>
    <col min="11" max="12" width="35" customWidth="1"/>
    <col min="13" max="13" width="10" customWidth="1"/>
    <col min="14" max="14" width="35" customWidth="1"/>
  </cols>
  <sheetData>
    <row r="1" spans="2:14" ht="27.95" customHeight="1" x14ac:dyDescent="0.25">
      <c r="B1" s="97" t="s">
        <v>570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2:14" ht="15.95" customHeight="1" x14ac:dyDescent="0.25">
      <c r="B2" s="96" t="s">
        <v>571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2:14" ht="35.1" customHeight="1" x14ac:dyDescent="0.25">
      <c r="B3" s="102" t="s">
        <v>572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</row>
    <row r="4" spans="2:14" ht="6" customHeight="1" x14ac:dyDescent="0.25"/>
    <row r="5" spans="2:14" ht="21.95" customHeight="1" x14ac:dyDescent="0.25">
      <c r="B5" s="33" t="s">
        <v>161</v>
      </c>
      <c r="C5" s="33" t="s">
        <v>162</v>
      </c>
      <c r="D5" s="33" t="s">
        <v>163</v>
      </c>
      <c r="E5" s="33" t="s">
        <v>164</v>
      </c>
      <c r="F5" s="33" t="s">
        <v>165</v>
      </c>
      <c r="G5" s="33" t="s">
        <v>6</v>
      </c>
      <c r="H5" s="33" t="s">
        <v>166</v>
      </c>
      <c r="I5" s="33" t="s">
        <v>167</v>
      </c>
      <c r="J5" s="33" t="s">
        <v>168</v>
      </c>
      <c r="K5" s="33" t="s">
        <v>169</v>
      </c>
      <c r="L5" s="33" t="s">
        <v>170</v>
      </c>
      <c r="M5" s="33" t="s">
        <v>171</v>
      </c>
      <c r="N5" s="34" t="s">
        <v>172</v>
      </c>
    </row>
    <row r="6" spans="2:14" ht="18" customHeight="1" x14ac:dyDescent="0.25">
      <c r="B6" s="101" t="s">
        <v>573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</row>
    <row r="7" spans="2:14" ht="45" customHeight="1" x14ac:dyDescent="0.25">
      <c r="B7" s="60" t="s">
        <v>574</v>
      </c>
      <c r="C7" s="61" t="s">
        <v>575</v>
      </c>
      <c r="D7" s="62" t="s">
        <v>576</v>
      </c>
      <c r="E7" s="63" t="s">
        <v>577</v>
      </c>
      <c r="F7" s="63" t="s">
        <v>578</v>
      </c>
      <c r="G7" s="64" t="s">
        <v>100</v>
      </c>
      <c r="H7" s="65" t="s">
        <v>579</v>
      </c>
      <c r="I7" s="65"/>
      <c r="J7" s="64" t="s">
        <v>111</v>
      </c>
      <c r="K7" s="62" t="s">
        <v>580</v>
      </c>
      <c r="L7" s="66"/>
      <c r="M7" s="67">
        <v>8</v>
      </c>
      <c r="N7" s="43" t="s">
        <v>581</v>
      </c>
    </row>
    <row r="8" spans="2:14" ht="45" customHeight="1" x14ac:dyDescent="0.25">
      <c r="B8" s="52" t="s">
        <v>582</v>
      </c>
      <c r="C8" s="53" t="s">
        <v>583</v>
      </c>
      <c r="D8" s="54" t="s">
        <v>584</v>
      </c>
      <c r="E8" s="55" t="s">
        <v>577</v>
      </c>
      <c r="F8" s="55" t="s">
        <v>585</v>
      </c>
      <c r="G8" s="56" t="s">
        <v>100</v>
      </c>
      <c r="H8" s="57" t="s">
        <v>517</v>
      </c>
      <c r="I8" s="57"/>
      <c r="J8" s="56" t="s">
        <v>111</v>
      </c>
      <c r="K8" s="54" t="s">
        <v>586</v>
      </c>
      <c r="L8" s="58"/>
      <c r="M8" s="59">
        <v>16</v>
      </c>
      <c r="N8" s="43" t="s">
        <v>587</v>
      </c>
    </row>
    <row r="9" spans="2:14" ht="45" customHeight="1" x14ac:dyDescent="0.25">
      <c r="B9" s="60" t="s">
        <v>588</v>
      </c>
      <c r="C9" s="61" t="s">
        <v>589</v>
      </c>
      <c r="D9" s="62" t="s">
        <v>590</v>
      </c>
      <c r="E9" s="63" t="s">
        <v>577</v>
      </c>
      <c r="F9" s="63" t="s">
        <v>585</v>
      </c>
      <c r="G9" s="64" t="s">
        <v>100</v>
      </c>
      <c r="H9" s="65" t="s">
        <v>591</v>
      </c>
      <c r="I9" s="65"/>
      <c r="J9" s="64" t="s">
        <v>111</v>
      </c>
      <c r="K9" s="62" t="s">
        <v>592</v>
      </c>
      <c r="L9" s="66"/>
      <c r="M9" s="67">
        <v>20</v>
      </c>
      <c r="N9" s="43" t="s">
        <v>593</v>
      </c>
    </row>
    <row r="10" spans="2:14" ht="45" customHeight="1" x14ac:dyDescent="0.25">
      <c r="B10" s="52" t="s">
        <v>594</v>
      </c>
      <c r="C10" s="53" t="s">
        <v>595</v>
      </c>
      <c r="D10" s="54" t="s">
        <v>596</v>
      </c>
      <c r="E10" s="55" t="s">
        <v>577</v>
      </c>
      <c r="F10" s="55" t="s">
        <v>585</v>
      </c>
      <c r="G10" s="56" t="s">
        <v>100</v>
      </c>
      <c r="H10" s="57" t="s">
        <v>591</v>
      </c>
      <c r="I10" s="57"/>
      <c r="J10" s="56" t="s">
        <v>113</v>
      </c>
      <c r="K10" s="54" t="s">
        <v>597</v>
      </c>
      <c r="L10" s="58"/>
      <c r="M10" s="59">
        <v>8</v>
      </c>
      <c r="N10" s="43" t="s">
        <v>598</v>
      </c>
    </row>
    <row r="11" spans="2:14" ht="45" customHeight="1" x14ac:dyDescent="0.25">
      <c r="B11" s="60" t="s">
        <v>599</v>
      </c>
      <c r="C11" s="61" t="s">
        <v>600</v>
      </c>
      <c r="D11" s="62" t="s">
        <v>601</v>
      </c>
      <c r="E11" s="63" t="s">
        <v>577</v>
      </c>
      <c r="F11" s="63" t="s">
        <v>602</v>
      </c>
      <c r="G11" s="64" t="s">
        <v>100</v>
      </c>
      <c r="H11" s="65" t="s">
        <v>603</v>
      </c>
      <c r="I11" s="65"/>
      <c r="J11" s="64" t="s">
        <v>113</v>
      </c>
      <c r="K11" s="62" t="s">
        <v>604</v>
      </c>
      <c r="L11" s="66"/>
      <c r="M11" s="67">
        <v>12</v>
      </c>
      <c r="N11" s="43" t="s">
        <v>605</v>
      </c>
    </row>
    <row r="12" spans="2:14" ht="45" customHeight="1" x14ac:dyDescent="0.25">
      <c r="B12" s="52" t="s">
        <v>606</v>
      </c>
      <c r="C12" s="53" t="s">
        <v>607</v>
      </c>
      <c r="D12" s="54" t="s">
        <v>608</v>
      </c>
      <c r="E12" s="55" t="s">
        <v>577</v>
      </c>
      <c r="F12" s="55" t="s">
        <v>609</v>
      </c>
      <c r="G12" s="56" t="s">
        <v>100</v>
      </c>
      <c r="H12" s="57" t="s">
        <v>610</v>
      </c>
      <c r="I12" s="57"/>
      <c r="J12" s="56" t="s">
        <v>111</v>
      </c>
      <c r="K12" s="54" t="s">
        <v>611</v>
      </c>
      <c r="L12" s="58"/>
      <c r="M12" s="59">
        <v>4</v>
      </c>
      <c r="N12" s="43" t="s">
        <v>612</v>
      </c>
    </row>
    <row r="14" spans="2:14" ht="18" customHeight="1" x14ac:dyDescent="0.25">
      <c r="B14" s="101" t="s">
        <v>613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</row>
    <row r="15" spans="2:14" ht="45" customHeight="1" x14ac:dyDescent="0.25">
      <c r="B15" s="60" t="s">
        <v>614</v>
      </c>
      <c r="C15" s="61" t="s">
        <v>615</v>
      </c>
      <c r="D15" s="62" t="s">
        <v>616</v>
      </c>
      <c r="E15" s="63" t="s">
        <v>617</v>
      </c>
      <c r="F15" s="63" t="s">
        <v>602</v>
      </c>
      <c r="G15" s="64" t="s">
        <v>100</v>
      </c>
      <c r="H15" s="65" t="s">
        <v>517</v>
      </c>
      <c r="I15" s="65"/>
      <c r="J15" s="64" t="s">
        <v>111</v>
      </c>
      <c r="K15" s="62" t="s">
        <v>618</v>
      </c>
      <c r="L15" s="66"/>
      <c r="M15" s="67">
        <v>12</v>
      </c>
      <c r="N15" s="43" t="s">
        <v>619</v>
      </c>
    </row>
    <row r="16" spans="2:14" ht="45" customHeight="1" x14ac:dyDescent="0.25">
      <c r="B16" s="52" t="s">
        <v>620</v>
      </c>
      <c r="C16" s="53" t="s">
        <v>621</v>
      </c>
      <c r="D16" s="54" t="s">
        <v>622</v>
      </c>
      <c r="E16" s="55" t="s">
        <v>617</v>
      </c>
      <c r="F16" s="55" t="s">
        <v>585</v>
      </c>
      <c r="G16" s="56" t="s">
        <v>100</v>
      </c>
      <c r="H16" s="57" t="s">
        <v>591</v>
      </c>
      <c r="I16" s="57"/>
      <c r="J16" s="56" t="s">
        <v>111</v>
      </c>
      <c r="K16" s="54" t="s">
        <v>623</v>
      </c>
      <c r="L16" s="58"/>
      <c r="M16" s="59">
        <v>16</v>
      </c>
      <c r="N16" s="43" t="s">
        <v>624</v>
      </c>
    </row>
    <row r="17" spans="2:14" ht="45" customHeight="1" x14ac:dyDescent="0.25">
      <c r="B17" s="60" t="s">
        <v>625</v>
      </c>
      <c r="C17" s="61" t="s">
        <v>626</v>
      </c>
      <c r="D17" s="62" t="s">
        <v>627</v>
      </c>
      <c r="E17" s="63" t="s">
        <v>617</v>
      </c>
      <c r="F17" s="63" t="s">
        <v>585</v>
      </c>
      <c r="G17" s="64" t="s">
        <v>100</v>
      </c>
      <c r="H17" s="65" t="s">
        <v>603</v>
      </c>
      <c r="I17" s="65"/>
      <c r="J17" s="64" t="s">
        <v>113</v>
      </c>
      <c r="K17" s="62" t="s">
        <v>628</v>
      </c>
      <c r="L17" s="66"/>
      <c r="M17" s="67">
        <v>12</v>
      </c>
      <c r="N17" s="43" t="s">
        <v>629</v>
      </c>
    </row>
    <row r="18" spans="2:14" ht="45" customHeight="1" x14ac:dyDescent="0.25">
      <c r="B18" s="52" t="s">
        <v>630</v>
      </c>
      <c r="C18" s="53" t="s">
        <v>631</v>
      </c>
      <c r="D18" s="54" t="s">
        <v>632</v>
      </c>
      <c r="E18" s="55" t="s">
        <v>617</v>
      </c>
      <c r="F18" s="55" t="s">
        <v>602</v>
      </c>
      <c r="G18" s="56" t="s">
        <v>100</v>
      </c>
      <c r="H18" s="57" t="s">
        <v>610</v>
      </c>
      <c r="I18" s="57"/>
      <c r="J18" s="56" t="s">
        <v>111</v>
      </c>
      <c r="K18" s="54" t="s">
        <v>633</v>
      </c>
      <c r="L18" s="58"/>
      <c r="M18" s="59">
        <v>12</v>
      </c>
      <c r="N18" s="43" t="s">
        <v>634</v>
      </c>
    </row>
    <row r="20" spans="2:14" ht="18" customHeight="1" x14ac:dyDescent="0.25">
      <c r="B20" s="101" t="s">
        <v>635</v>
      </c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</row>
    <row r="21" spans="2:14" ht="45" customHeight="1" x14ac:dyDescent="0.25">
      <c r="B21" s="60" t="s">
        <v>636</v>
      </c>
      <c r="C21" s="61" t="s">
        <v>637</v>
      </c>
      <c r="D21" s="62" t="s">
        <v>638</v>
      </c>
      <c r="E21" s="63" t="s">
        <v>639</v>
      </c>
      <c r="F21" s="63" t="s">
        <v>585</v>
      </c>
      <c r="G21" s="64" t="s">
        <v>100</v>
      </c>
      <c r="H21" s="65" t="s">
        <v>610</v>
      </c>
      <c r="I21" s="65"/>
      <c r="J21" s="64" t="s">
        <v>113</v>
      </c>
      <c r="K21" s="62" t="s">
        <v>640</v>
      </c>
      <c r="L21" s="66"/>
      <c r="M21" s="67">
        <v>16</v>
      </c>
      <c r="N21" s="43" t="s">
        <v>641</v>
      </c>
    </row>
    <row r="22" spans="2:14" ht="45" customHeight="1" x14ac:dyDescent="0.25">
      <c r="B22" s="52" t="s">
        <v>642</v>
      </c>
      <c r="C22" s="53" t="s">
        <v>643</v>
      </c>
      <c r="D22" s="54" t="s">
        <v>644</v>
      </c>
      <c r="E22" s="55" t="s">
        <v>645</v>
      </c>
      <c r="F22" s="55" t="s">
        <v>585</v>
      </c>
      <c r="G22" s="56" t="s">
        <v>100</v>
      </c>
      <c r="H22" s="57" t="s">
        <v>579</v>
      </c>
      <c r="I22" s="57"/>
      <c r="J22" s="56" t="s">
        <v>111</v>
      </c>
      <c r="K22" s="54" t="s">
        <v>646</v>
      </c>
      <c r="L22" s="58"/>
      <c r="M22" s="59">
        <v>6</v>
      </c>
      <c r="N22" s="43" t="s">
        <v>647</v>
      </c>
    </row>
    <row r="23" spans="2:14" ht="45" customHeight="1" x14ac:dyDescent="0.25">
      <c r="B23" s="60" t="s">
        <v>648</v>
      </c>
      <c r="C23" s="61" t="s">
        <v>649</v>
      </c>
      <c r="D23" s="62" t="s">
        <v>650</v>
      </c>
      <c r="E23" s="63" t="s">
        <v>651</v>
      </c>
      <c r="F23" s="63" t="s">
        <v>652</v>
      </c>
      <c r="G23" s="64" t="s">
        <v>100</v>
      </c>
      <c r="H23" s="65" t="s">
        <v>65</v>
      </c>
      <c r="I23" s="65"/>
      <c r="J23" s="64" t="s">
        <v>111</v>
      </c>
      <c r="K23" s="62" t="s">
        <v>653</v>
      </c>
      <c r="L23" s="66"/>
      <c r="M23" s="67">
        <v>8</v>
      </c>
      <c r="N23" s="43" t="s">
        <v>654</v>
      </c>
    </row>
  </sheetData>
  <mergeCells count="6">
    <mergeCell ref="B20:N20"/>
    <mergeCell ref="B14:N14"/>
    <mergeCell ref="B1:N1"/>
    <mergeCell ref="B6:N6"/>
    <mergeCell ref="B3:N3"/>
    <mergeCell ref="B2:N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N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7" customWidth="1"/>
    <col min="3" max="3" width="28" customWidth="1"/>
    <col min="4" max="4" width="55" customWidth="1"/>
    <col min="5" max="5" width="18" customWidth="1"/>
    <col min="6" max="6" width="16" customWidth="1"/>
    <col min="7" max="7" width="14" customWidth="1"/>
    <col min="8" max="9" width="12" customWidth="1"/>
    <col min="10" max="10" width="14" customWidth="1"/>
    <col min="11" max="12" width="35" customWidth="1"/>
    <col min="13" max="13" width="10" customWidth="1"/>
    <col min="14" max="14" width="35" customWidth="1"/>
  </cols>
  <sheetData>
    <row r="1" spans="2:14" ht="27.95" customHeight="1" x14ac:dyDescent="0.25">
      <c r="B1" s="97" t="s">
        <v>655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2:14" ht="15.95" customHeight="1" x14ac:dyDescent="0.25">
      <c r="B2" s="96" t="s">
        <v>656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2:14" ht="35.1" customHeight="1" x14ac:dyDescent="0.25">
      <c r="B3" s="102" t="s">
        <v>657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</row>
    <row r="4" spans="2:14" ht="6" customHeight="1" x14ac:dyDescent="0.25"/>
    <row r="5" spans="2:14" ht="21.95" customHeight="1" x14ac:dyDescent="0.25">
      <c r="B5" s="33" t="s">
        <v>161</v>
      </c>
      <c r="C5" s="33" t="s">
        <v>162</v>
      </c>
      <c r="D5" s="33" t="s">
        <v>163</v>
      </c>
      <c r="E5" s="33" t="s">
        <v>164</v>
      </c>
      <c r="F5" s="33" t="s">
        <v>165</v>
      </c>
      <c r="G5" s="33" t="s">
        <v>6</v>
      </c>
      <c r="H5" s="33" t="s">
        <v>166</v>
      </c>
      <c r="I5" s="33" t="s">
        <v>167</v>
      </c>
      <c r="J5" s="33" t="s">
        <v>168</v>
      </c>
      <c r="K5" s="33" t="s">
        <v>169</v>
      </c>
      <c r="L5" s="33" t="s">
        <v>170</v>
      </c>
      <c r="M5" s="33" t="s">
        <v>171</v>
      </c>
      <c r="N5" s="34" t="s">
        <v>172</v>
      </c>
    </row>
    <row r="6" spans="2:14" ht="18" customHeight="1" x14ac:dyDescent="0.25">
      <c r="B6" s="101" t="s">
        <v>658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</row>
    <row r="7" spans="2:14" ht="45" customHeight="1" x14ac:dyDescent="0.25">
      <c r="B7" s="60" t="s">
        <v>659</v>
      </c>
      <c r="C7" s="61" t="s">
        <v>660</v>
      </c>
      <c r="D7" s="62" t="s">
        <v>661</v>
      </c>
      <c r="E7" s="63" t="s">
        <v>662</v>
      </c>
      <c r="F7" s="63" t="s">
        <v>204</v>
      </c>
      <c r="G7" s="64" t="s">
        <v>100</v>
      </c>
      <c r="H7" s="65" t="s">
        <v>663</v>
      </c>
      <c r="I7" s="65"/>
      <c r="J7" s="64" t="s">
        <v>111</v>
      </c>
      <c r="K7" s="62" t="s">
        <v>664</v>
      </c>
      <c r="L7" s="66"/>
      <c r="M7" s="67">
        <v>20</v>
      </c>
      <c r="N7" s="43" t="s">
        <v>665</v>
      </c>
    </row>
    <row r="8" spans="2:14" ht="45" customHeight="1" x14ac:dyDescent="0.25">
      <c r="B8" s="52" t="s">
        <v>666</v>
      </c>
      <c r="C8" s="53" t="s">
        <v>667</v>
      </c>
      <c r="D8" s="54" t="s">
        <v>668</v>
      </c>
      <c r="E8" s="55" t="s">
        <v>662</v>
      </c>
      <c r="F8" s="55" t="s">
        <v>178</v>
      </c>
      <c r="G8" s="56" t="s">
        <v>100</v>
      </c>
      <c r="H8" s="57" t="s">
        <v>65</v>
      </c>
      <c r="I8" s="57"/>
      <c r="J8" s="56" t="s">
        <v>113</v>
      </c>
      <c r="K8" s="54" t="s">
        <v>669</v>
      </c>
      <c r="L8" s="58"/>
      <c r="M8" s="59">
        <v>4</v>
      </c>
      <c r="N8" s="43"/>
    </row>
    <row r="9" spans="2:14" ht="45" customHeight="1" x14ac:dyDescent="0.25">
      <c r="B9" s="60" t="s">
        <v>670</v>
      </c>
      <c r="C9" s="61" t="s">
        <v>671</v>
      </c>
      <c r="D9" s="62" t="s">
        <v>672</v>
      </c>
      <c r="E9" s="63" t="s">
        <v>662</v>
      </c>
      <c r="F9" s="63" t="s">
        <v>673</v>
      </c>
      <c r="G9" s="64" t="s">
        <v>100</v>
      </c>
      <c r="H9" s="65" t="s">
        <v>674</v>
      </c>
      <c r="I9" s="65"/>
      <c r="J9" s="64" t="s">
        <v>113</v>
      </c>
      <c r="K9" s="62" t="s">
        <v>675</v>
      </c>
      <c r="L9" s="66"/>
      <c r="M9" s="67">
        <v>8</v>
      </c>
      <c r="N9" s="43" t="s">
        <v>676</v>
      </c>
    </row>
    <row r="11" spans="2:14" ht="18" customHeight="1" x14ac:dyDescent="0.25">
      <c r="B11" s="101" t="s">
        <v>677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</row>
    <row r="12" spans="2:14" ht="45" customHeight="1" x14ac:dyDescent="0.25">
      <c r="B12" s="60" t="s">
        <v>678</v>
      </c>
      <c r="C12" s="61" t="s">
        <v>679</v>
      </c>
      <c r="D12" s="62" t="s">
        <v>680</v>
      </c>
      <c r="E12" s="63" t="s">
        <v>681</v>
      </c>
      <c r="F12" s="63" t="s">
        <v>178</v>
      </c>
      <c r="G12" s="64" t="s">
        <v>100</v>
      </c>
      <c r="H12" s="65" t="s">
        <v>682</v>
      </c>
      <c r="I12" s="65"/>
      <c r="J12" s="64" t="s">
        <v>111</v>
      </c>
      <c r="K12" s="62" t="s">
        <v>683</v>
      </c>
      <c r="L12" s="66"/>
      <c r="M12" s="67">
        <v>30</v>
      </c>
      <c r="N12" s="43" t="s">
        <v>684</v>
      </c>
    </row>
    <row r="13" spans="2:14" ht="45" customHeight="1" x14ac:dyDescent="0.25">
      <c r="B13" s="52" t="s">
        <v>685</v>
      </c>
      <c r="C13" s="53" t="s">
        <v>686</v>
      </c>
      <c r="D13" s="54" t="s">
        <v>687</v>
      </c>
      <c r="E13" s="55" t="s">
        <v>688</v>
      </c>
      <c r="F13" s="55" t="s">
        <v>204</v>
      </c>
      <c r="G13" s="56" t="s">
        <v>100</v>
      </c>
      <c r="H13" s="57" t="s">
        <v>689</v>
      </c>
      <c r="I13" s="57"/>
      <c r="J13" s="56" t="s">
        <v>113</v>
      </c>
      <c r="K13" s="54" t="s">
        <v>690</v>
      </c>
      <c r="L13" s="58"/>
      <c r="M13" s="59">
        <v>4</v>
      </c>
      <c r="N13" s="43" t="s">
        <v>691</v>
      </c>
    </row>
    <row r="14" spans="2:14" ht="45" customHeight="1" x14ac:dyDescent="0.25">
      <c r="B14" s="60" t="s">
        <v>692</v>
      </c>
      <c r="C14" s="61" t="s">
        <v>693</v>
      </c>
      <c r="D14" s="62" t="s">
        <v>694</v>
      </c>
      <c r="E14" s="63" t="s">
        <v>695</v>
      </c>
      <c r="F14" s="63" t="s">
        <v>609</v>
      </c>
      <c r="G14" s="64" t="s">
        <v>100</v>
      </c>
      <c r="H14" s="65" t="s">
        <v>682</v>
      </c>
      <c r="I14" s="65"/>
      <c r="J14" s="64" t="s">
        <v>113</v>
      </c>
      <c r="K14" s="62" t="s">
        <v>696</v>
      </c>
      <c r="L14" s="66"/>
      <c r="M14" s="67">
        <v>8</v>
      </c>
      <c r="N14" s="43" t="s">
        <v>697</v>
      </c>
    </row>
    <row r="15" spans="2:14" ht="45" customHeight="1" x14ac:dyDescent="0.25">
      <c r="B15" s="52" t="s">
        <v>698</v>
      </c>
      <c r="C15" s="53" t="s">
        <v>699</v>
      </c>
      <c r="D15" s="54" t="s">
        <v>700</v>
      </c>
      <c r="E15" s="55" t="s">
        <v>681</v>
      </c>
      <c r="F15" s="55" t="s">
        <v>204</v>
      </c>
      <c r="G15" s="56" t="s">
        <v>100</v>
      </c>
      <c r="H15" s="57" t="s">
        <v>674</v>
      </c>
      <c r="I15" s="57"/>
      <c r="J15" s="56" t="s">
        <v>115</v>
      </c>
      <c r="K15" s="54" t="s">
        <v>701</v>
      </c>
      <c r="L15" s="58"/>
      <c r="M15" s="59">
        <v>3</v>
      </c>
      <c r="N15" s="43" t="s">
        <v>702</v>
      </c>
    </row>
    <row r="17" spans="2:14" ht="18" customHeight="1" x14ac:dyDescent="0.25">
      <c r="B17" s="101" t="s">
        <v>703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</row>
    <row r="18" spans="2:14" ht="45" customHeight="1" x14ac:dyDescent="0.25">
      <c r="B18" s="60" t="s">
        <v>704</v>
      </c>
      <c r="C18" s="61" t="s">
        <v>705</v>
      </c>
      <c r="D18" s="62" t="s">
        <v>706</v>
      </c>
      <c r="E18" s="63" t="s">
        <v>707</v>
      </c>
      <c r="F18" s="63" t="s">
        <v>602</v>
      </c>
      <c r="G18" s="64" t="s">
        <v>100</v>
      </c>
      <c r="H18" s="65" t="s">
        <v>663</v>
      </c>
      <c r="I18" s="65"/>
      <c r="J18" s="64" t="s">
        <v>111</v>
      </c>
      <c r="K18" s="62" t="s">
        <v>708</v>
      </c>
      <c r="L18" s="66"/>
      <c r="M18" s="67">
        <v>4</v>
      </c>
      <c r="N18" s="43"/>
    </row>
    <row r="19" spans="2:14" ht="45" customHeight="1" x14ac:dyDescent="0.25">
      <c r="B19" s="52" t="s">
        <v>709</v>
      </c>
      <c r="C19" s="53" t="s">
        <v>710</v>
      </c>
      <c r="D19" s="54" t="s">
        <v>711</v>
      </c>
      <c r="E19" s="55" t="s">
        <v>707</v>
      </c>
      <c r="F19" s="55" t="s">
        <v>178</v>
      </c>
      <c r="G19" s="56" t="s">
        <v>100</v>
      </c>
      <c r="H19" s="57" t="s">
        <v>689</v>
      </c>
      <c r="I19" s="57"/>
      <c r="J19" s="56" t="s">
        <v>113</v>
      </c>
      <c r="K19" s="54" t="s">
        <v>712</v>
      </c>
      <c r="L19" s="58"/>
      <c r="M19" s="59">
        <v>2</v>
      </c>
      <c r="N19" s="43" t="s">
        <v>713</v>
      </c>
    </row>
    <row r="20" spans="2:14" ht="45" customHeight="1" x14ac:dyDescent="0.25">
      <c r="B20" s="60" t="s">
        <v>714</v>
      </c>
      <c r="C20" s="61" t="s">
        <v>715</v>
      </c>
      <c r="D20" s="62" t="s">
        <v>716</v>
      </c>
      <c r="E20" s="63" t="s">
        <v>717</v>
      </c>
      <c r="F20" s="63" t="s">
        <v>178</v>
      </c>
      <c r="G20" s="64" t="s">
        <v>100</v>
      </c>
      <c r="H20" s="65" t="s">
        <v>682</v>
      </c>
      <c r="I20" s="65"/>
      <c r="J20" s="64" t="s">
        <v>115</v>
      </c>
      <c r="K20" s="62" t="s">
        <v>718</v>
      </c>
      <c r="L20" s="66"/>
      <c r="M20" s="67">
        <v>4</v>
      </c>
      <c r="N20" s="43" t="s">
        <v>719</v>
      </c>
    </row>
    <row r="21" spans="2:14" ht="45" customHeight="1" x14ac:dyDescent="0.25">
      <c r="B21" s="52" t="s">
        <v>720</v>
      </c>
      <c r="C21" s="53" t="s">
        <v>721</v>
      </c>
      <c r="D21" s="54" t="s">
        <v>722</v>
      </c>
      <c r="E21" s="55" t="s">
        <v>723</v>
      </c>
      <c r="F21" s="55" t="s">
        <v>609</v>
      </c>
      <c r="G21" s="56" t="s">
        <v>100</v>
      </c>
      <c r="H21" s="57" t="s">
        <v>689</v>
      </c>
      <c r="I21" s="57"/>
      <c r="J21" s="56" t="s">
        <v>113</v>
      </c>
      <c r="K21" s="54" t="s">
        <v>724</v>
      </c>
      <c r="L21" s="58"/>
      <c r="M21" s="59">
        <v>12</v>
      </c>
      <c r="N21" s="43" t="s">
        <v>725</v>
      </c>
    </row>
    <row r="22" spans="2:14" ht="45" customHeight="1" x14ac:dyDescent="0.25">
      <c r="B22" s="60" t="s">
        <v>726</v>
      </c>
      <c r="C22" s="61" t="s">
        <v>727</v>
      </c>
      <c r="D22" s="62" t="s">
        <v>728</v>
      </c>
      <c r="E22" s="63" t="s">
        <v>723</v>
      </c>
      <c r="F22" s="63" t="s">
        <v>585</v>
      </c>
      <c r="G22" s="64" t="s">
        <v>100</v>
      </c>
      <c r="H22" s="65" t="s">
        <v>689</v>
      </c>
      <c r="I22" s="65"/>
      <c r="J22" s="64" t="s">
        <v>115</v>
      </c>
      <c r="K22" s="62" t="s">
        <v>729</v>
      </c>
      <c r="L22" s="66"/>
      <c r="M22" s="67">
        <v>20</v>
      </c>
      <c r="N22" s="43" t="s">
        <v>730</v>
      </c>
    </row>
    <row r="23" spans="2:14" ht="45" customHeight="1" x14ac:dyDescent="0.25">
      <c r="B23" s="52" t="s">
        <v>731</v>
      </c>
      <c r="C23" s="53" t="s">
        <v>732</v>
      </c>
      <c r="D23" s="54" t="s">
        <v>733</v>
      </c>
      <c r="E23" s="55" t="s">
        <v>734</v>
      </c>
      <c r="F23" s="55" t="s">
        <v>178</v>
      </c>
      <c r="G23" s="56" t="s">
        <v>100</v>
      </c>
      <c r="H23" s="57" t="s">
        <v>68</v>
      </c>
      <c r="I23" s="57"/>
      <c r="J23" s="56" t="s">
        <v>115</v>
      </c>
      <c r="K23" s="54" t="s">
        <v>735</v>
      </c>
      <c r="L23" s="58"/>
      <c r="M23" s="59">
        <v>6</v>
      </c>
      <c r="N23" s="43" t="s">
        <v>736</v>
      </c>
    </row>
  </sheetData>
  <mergeCells count="6">
    <mergeCell ref="B1:N1"/>
    <mergeCell ref="B17:N17"/>
    <mergeCell ref="B11:N11"/>
    <mergeCell ref="B6:N6"/>
    <mergeCell ref="B3:N3"/>
    <mergeCell ref="B2:N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N1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7" customWidth="1"/>
    <col min="3" max="3" width="28" customWidth="1"/>
    <col min="4" max="4" width="55" customWidth="1"/>
    <col min="5" max="5" width="18" customWidth="1"/>
    <col min="6" max="6" width="16" customWidth="1"/>
    <col min="7" max="7" width="14" customWidth="1"/>
    <col min="8" max="9" width="12" customWidth="1"/>
    <col min="10" max="10" width="14" customWidth="1"/>
    <col min="11" max="12" width="35" customWidth="1"/>
    <col min="13" max="13" width="10" customWidth="1"/>
    <col min="14" max="14" width="35" customWidth="1"/>
  </cols>
  <sheetData>
    <row r="1" spans="2:14" ht="27.95" customHeight="1" x14ac:dyDescent="0.25">
      <c r="B1" s="97" t="s">
        <v>737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2:14" ht="15.95" customHeight="1" x14ac:dyDescent="0.25">
      <c r="B2" s="96" t="s">
        <v>738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2:14" ht="35.1" customHeight="1" x14ac:dyDescent="0.25">
      <c r="B3" s="102" t="s">
        <v>739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</row>
    <row r="4" spans="2:14" ht="6" customHeight="1" x14ac:dyDescent="0.25"/>
    <row r="5" spans="2:14" ht="21.95" customHeight="1" x14ac:dyDescent="0.25">
      <c r="B5" s="33" t="s">
        <v>161</v>
      </c>
      <c r="C5" s="33" t="s">
        <v>162</v>
      </c>
      <c r="D5" s="33" t="s">
        <v>163</v>
      </c>
      <c r="E5" s="33" t="s">
        <v>164</v>
      </c>
      <c r="F5" s="33" t="s">
        <v>165</v>
      </c>
      <c r="G5" s="33" t="s">
        <v>6</v>
      </c>
      <c r="H5" s="33" t="s">
        <v>166</v>
      </c>
      <c r="I5" s="33" t="s">
        <v>167</v>
      </c>
      <c r="J5" s="33" t="s">
        <v>168</v>
      </c>
      <c r="K5" s="33" t="s">
        <v>169</v>
      </c>
      <c r="L5" s="33" t="s">
        <v>170</v>
      </c>
      <c r="M5" s="33" t="s">
        <v>171</v>
      </c>
      <c r="N5" s="34" t="s">
        <v>172</v>
      </c>
    </row>
    <row r="6" spans="2:14" ht="18" customHeight="1" x14ac:dyDescent="0.25">
      <c r="B6" s="101" t="s">
        <v>740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</row>
    <row r="7" spans="2:14" ht="45" customHeight="1" x14ac:dyDescent="0.25">
      <c r="B7" s="60" t="s">
        <v>741</v>
      </c>
      <c r="C7" s="61" t="s">
        <v>742</v>
      </c>
      <c r="D7" s="62" t="s">
        <v>743</v>
      </c>
      <c r="E7" s="63" t="s">
        <v>744</v>
      </c>
      <c r="F7" s="63" t="s">
        <v>745</v>
      </c>
      <c r="G7" s="64" t="s">
        <v>100</v>
      </c>
      <c r="H7" s="65" t="s">
        <v>71</v>
      </c>
      <c r="I7" s="65"/>
      <c r="J7" s="64" t="s">
        <v>111</v>
      </c>
      <c r="K7" s="62" t="s">
        <v>746</v>
      </c>
      <c r="L7" s="66"/>
      <c r="M7" s="67">
        <v>30</v>
      </c>
      <c r="N7" s="43" t="s">
        <v>747</v>
      </c>
    </row>
    <row r="8" spans="2:14" ht="45" customHeight="1" x14ac:dyDescent="0.25">
      <c r="B8" s="52" t="s">
        <v>748</v>
      </c>
      <c r="C8" s="53" t="s">
        <v>749</v>
      </c>
      <c r="D8" s="54" t="s">
        <v>750</v>
      </c>
      <c r="E8" s="55" t="s">
        <v>751</v>
      </c>
      <c r="F8" s="55" t="s">
        <v>178</v>
      </c>
      <c r="G8" s="56" t="s">
        <v>100</v>
      </c>
      <c r="H8" s="57" t="s">
        <v>71</v>
      </c>
      <c r="I8" s="57"/>
      <c r="J8" s="56" t="s">
        <v>111</v>
      </c>
      <c r="K8" s="54" t="s">
        <v>752</v>
      </c>
      <c r="L8" s="58"/>
      <c r="M8" s="59">
        <v>30</v>
      </c>
      <c r="N8" s="43" t="s">
        <v>753</v>
      </c>
    </row>
    <row r="9" spans="2:14" ht="45" customHeight="1" x14ac:dyDescent="0.25">
      <c r="B9" s="60" t="s">
        <v>754</v>
      </c>
      <c r="C9" s="61" t="s">
        <v>755</v>
      </c>
      <c r="D9" s="62" t="s">
        <v>756</v>
      </c>
      <c r="E9" s="63" t="s">
        <v>757</v>
      </c>
      <c r="F9" s="63" t="s">
        <v>325</v>
      </c>
      <c r="G9" s="64" t="s">
        <v>100</v>
      </c>
      <c r="H9" s="65" t="s">
        <v>71</v>
      </c>
      <c r="I9" s="65"/>
      <c r="J9" s="64" t="s">
        <v>111</v>
      </c>
      <c r="K9" s="62" t="s">
        <v>758</v>
      </c>
      <c r="L9" s="66"/>
      <c r="M9" s="67">
        <v>4</v>
      </c>
      <c r="N9" s="43" t="s">
        <v>759</v>
      </c>
    </row>
    <row r="10" spans="2:14" ht="45" customHeight="1" x14ac:dyDescent="0.25">
      <c r="B10" s="52" t="s">
        <v>760</v>
      </c>
      <c r="C10" s="53" t="s">
        <v>761</v>
      </c>
      <c r="D10" s="54" t="s">
        <v>762</v>
      </c>
      <c r="E10" s="55" t="s">
        <v>763</v>
      </c>
      <c r="F10" s="55" t="s">
        <v>178</v>
      </c>
      <c r="G10" s="56" t="s">
        <v>100</v>
      </c>
      <c r="H10" s="57" t="s">
        <v>71</v>
      </c>
      <c r="I10" s="57"/>
      <c r="J10" s="56" t="s">
        <v>113</v>
      </c>
      <c r="K10" s="54" t="s">
        <v>764</v>
      </c>
      <c r="L10" s="58"/>
      <c r="M10" s="59">
        <v>20</v>
      </c>
      <c r="N10" s="43" t="s">
        <v>765</v>
      </c>
    </row>
    <row r="11" spans="2:14" ht="45" customHeight="1" x14ac:dyDescent="0.25">
      <c r="B11" s="60" t="s">
        <v>766</v>
      </c>
      <c r="C11" s="61" t="s">
        <v>767</v>
      </c>
      <c r="D11" s="62" t="s">
        <v>768</v>
      </c>
      <c r="E11" s="63" t="s">
        <v>769</v>
      </c>
      <c r="F11" s="63" t="s">
        <v>585</v>
      </c>
      <c r="G11" s="64" t="s">
        <v>100</v>
      </c>
      <c r="H11" s="65" t="s">
        <v>71</v>
      </c>
      <c r="I11" s="65"/>
      <c r="J11" s="64" t="s">
        <v>113</v>
      </c>
      <c r="K11" s="62" t="s">
        <v>770</v>
      </c>
      <c r="L11" s="66"/>
      <c r="M11" s="67">
        <v>40</v>
      </c>
      <c r="N11" s="43" t="s">
        <v>771</v>
      </c>
    </row>
    <row r="12" spans="2:14" ht="45" customHeight="1" x14ac:dyDescent="0.25">
      <c r="B12" s="52" t="s">
        <v>772</v>
      </c>
      <c r="C12" s="53" t="s">
        <v>773</v>
      </c>
      <c r="D12" s="54" t="s">
        <v>774</v>
      </c>
      <c r="E12" s="55" t="s">
        <v>775</v>
      </c>
      <c r="F12" s="55" t="s">
        <v>178</v>
      </c>
      <c r="G12" s="56" t="s">
        <v>100</v>
      </c>
      <c r="H12" s="57" t="s">
        <v>71</v>
      </c>
      <c r="I12" s="57"/>
      <c r="J12" s="56" t="s">
        <v>113</v>
      </c>
      <c r="K12" s="54" t="s">
        <v>776</v>
      </c>
      <c r="L12" s="58"/>
      <c r="M12" s="59">
        <v>10</v>
      </c>
      <c r="N12" s="43" t="s">
        <v>777</v>
      </c>
    </row>
    <row r="13" spans="2:14" ht="45" customHeight="1" x14ac:dyDescent="0.25">
      <c r="B13" s="60" t="s">
        <v>778</v>
      </c>
      <c r="C13" s="61" t="s">
        <v>779</v>
      </c>
      <c r="D13" s="62" t="s">
        <v>780</v>
      </c>
      <c r="E13" s="63" t="s">
        <v>781</v>
      </c>
      <c r="F13" s="63" t="s">
        <v>309</v>
      </c>
      <c r="G13" s="64" t="s">
        <v>100</v>
      </c>
      <c r="H13" s="65" t="s">
        <v>71</v>
      </c>
      <c r="I13" s="65"/>
      <c r="J13" s="64" t="s">
        <v>115</v>
      </c>
      <c r="K13" s="62" t="s">
        <v>782</v>
      </c>
      <c r="L13" s="66"/>
      <c r="M13" s="67">
        <v>4</v>
      </c>
      <c r="N13" s="43" t="s">
        <v>783</v>
      </c>
    </row>
    <row r="14" spans="2:14" ht="45" customHeight="1" x14ac:dyDescent="0.25">
      <c r="B14" s="52" t="s">
        <v>784</v>
      </c>
      <c r="C14" s="53" t="s">
        <v>785</v>
      </c>
      <c r="D14" s="54" t="s">
        <v>786</v>
      </c>
      <c r="E14" s="55" t="s">
        <v>787</v>
      </c>
      <c r="F14" s="55" t="s">
        <v>204</v>
      </c>
      <c r="G14" s="56" t="s">
        <v>100</v>
      </c>
      <c r="H14" s="57" t="s">
        <v>788</v>
      </c>
      <c r="I14" s="57"/>
      <c r="J14" s="56" t="s">
        <v>115</v>
      </c>
      <c r="K14" s="54" t="s">
        <v>789</v>
      </c>
      <c r="L14" s="58"/>
      <c r="M14" s="59">
        <v>4</v>
      </c>
      <c r="N14" s="43" t="s">
        <v>790</v>
      </c>
    </row>
    <row r="15" spans="2:14" ht="45" customHeight="1" x14ac:dyDescent="0.25">
      <c r="B15" s="60" t="s">
        <v>791</v>
      </c>
      <c r="C15" s="61" t="s">
        <v>792</v>
      </c>
      <c r="D15" s="62" t="s">
        <v>793</v>
      </c>
      <c r="E15" s="63" t="s">
        <v>794</v>
      </c>
      <c r="F15" s="63" t="s">
        <v>795</v>
      </c>
      <c r="G15" s="64" t="s">
        <v>100</v>
      </c>
      <c r="H15" s="65" t="s">
        <v>71</v>
      </c>
      <c r="I15" s="65"/>
      <c r="J15" s="64" t="s">
        <v>115</v>
      </c>
      <c r="K15" s="62" t="s">
        <v>796</v>
      </c>
      <c r="L15" s="66"/>
      <c r="M15" s="67">
        <v>6</v>
      </c>
      <c r="N15" s="43" t="s">
        <v>797</v>
      </c>
    </row>
    <row r="16" spans="2:14" ht="45" customHeight="1" x14ac:dyDescent="0.25">
      <c r="B16" s="52" t="s">
        <v>798</v>
      </c>
      <c r="C16" s="53" t="s">
        <v>799</v>
      </c>
      <c r="D16" s="54" t="s">
        <v>800</v>
      </c>
      <c r="E16" s="55" t="s">
        <v>801</v>
      </c>
      <c r="F16" s="55" t="s">
        <v>178</v>
      </c>
      <c r="G16" s="56" t="s">
        <v>100</v>
      </c>
      <c r="H16" s="57" t="s">
        <v>71</v>
      </c>
      <c r="I16" s="57"/>
      <c r="J16" s="56" t="s">
        <v>115</v>
      </c>
      <c r="K16" s="54" t="s">
        <v>802</v>
      </c>
      <c r="L16" s="58"/>
      <c r="M16" s="59">
        <v>4</v>
      </c>
      <c r="N16" s="43" t="s">
        <v>803</v>
      </c>
    </row>
    <row r="17" spans="2:14" ht="45" customHeight="1" x14ac:dyDescent="0.25">
      <c r="B17" s="60" t="s">
        <v>804</v>
      </c>
      <c r="C17" s="61" t="s">
        <v>805</v>
      </c>
      <c r="D17" s="62" t="s">
        <v>806</v>
      </c>
      <c r="E17" s="63" t="s">
        <v>807</v>
      </c>
      <c r="F17" s="63" t="s">
        <v>178</v>
      </c>
      <c r="G17" s="64" t="s">
        <v>100</v>
      </c>
      <c r="H17" s="65" t="s">
        <v>71</v>
      </c>
      <c r="I17" s="65"/>
      <c r="J17" s="64" t="s">
        <v>115</v>
      </c>
      <c r="K17" s="62" t="s">
        <v>808</v>
      </c>
      <c r="L17" s="66"/>
      <c r="M17" s="67">
        <v>6</v>
      </c>
      <c r="N17" s="43" t="s">
        <v>809</v>
      </c>
    </row>
  </sheetData>
  <mergeCells count="4">
    <mergeCell ref="B1:N1"/>
    <mergeCell ref="B3:N3"/>
    <mergeCell ref="B2:N2"/>
    <mergeCell ref="B6:N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8"/>
  <sheetViews>
    <sheetView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8" customWidth="1"/>
    <col min="3" max="3" width="30" customWidth="1"/>
    <col min="4" max="4" width="58" customWidth="1"/>
    <col min="5" max="5" width="18" customWidth="1"/>
    <col min="6" max="7" width="14" customWidth="1"/>
    <col min="8" max="8" width="12" customWidth="1"/>
    <col min="9" max="9" width="10" customWidth="1"/>
    <col min="10" max="11" width="35" customWidth="1"/>
  </cols>
  <sheetData>
    <row r="1" spans="2:11" ht="27.95" customHeight="1" x14ac:dyDescent="0.25">
      <c r="B1" s="103" t="s">
        <v>810</v>
      </c>
      <c r="C1" s="85"/>
      <c r="D1" s="85"/>
      <c r="E1" s="85"/>
      <c r="F1" s="85"/>
      <c r="G1" s="85"/>
      <c r="H1" s="85"/>
      <c r="I1" s="85"/>
      <c r="J1" s="85"/>
      <c r="K1" s="85"/>
    </row>
    <row r="2" spans="2:11" ht="15.95" customHeight="1" x14ac:dyDescent="0.25">
      <c r="B2" s="105" t="s">
        <v>811</v>
      </c>
      <c r="C2" s="85"/>
      <c r="D2" s="85"/>
      <c r="E2" s="85"/>
      <c r="F2" s="85"/>
      <c r="G2" s="85"/>
      <c r="H2" s="85"/>
      <c r="I2" s="85"/>
      <c r="J2" s="85"/>
      <c r="K2" s="85"/>
    </row>
    <row r="4" spans="2:11" ht="26.1" customHeight="1" x14ac:dyDescent="0.25">
      <c r="B4" s="104" t="s">
        <v>812</v>
      </c>
      <c r="C4" s="85"/>
      <c r="D4" s="85"/>
      <c r="E4" s="85"/>
      <c r="F4" s="85"/>
      <c r="G4" s="85"/>
      <c r="H4" s="85"/>
      <c r="I4" s="85"/>
      <c r="J4" s="85"/>
      <c r="K4" s="85"/>
    </row>
    <row r="5" spans="2:11" ht="129.94999999999999" customHeight="1" x14ac:dyDescent="0.25">
      <c r="B5" s="107" t="s">
        <v>813</v>
      </c>
      <c r="C5" s="85"/>
      <c r="D5" s="85"/>
      <c r="E5" s="85"/>
      <c r="F5" s="85"/>
      <c r="G5" s="85"/>
      <c r="H5" s="85"/>
      <c r="I5" s="85"/>
      <c r="J5" s="85"/>
      <c r="K5" s="85"/>
    </row>
    <row r="7" spans="2:11" ht="26.1" customHeight="1" x14ac:dyDescent="0.25">
      <c r="B7" s="104" t="s">
        <v>814</v>
      </c>
      <c r="C7" s="85"/>
      <c r="D7" s="85"/>
      <c r="E7" s="85"/>
      <c r="F7" s="85"/>
      <c r="G7" s="85"/>
      <c r="H7" s="85"/>
      <c r="I7" s="85"/>
      <c r="J7" s="85"/>
      <c r="K7" s="85"/>
    </row>
    <row r="8" spans="2:11" ht="21.95" customHeight="1" x14ac:dyDescent="0.25">
      <c r="B8" s="68" t="s">
        <v>161</v>
      </c>
      <c r="C8" s="68" t="s">
        <v>162</v>
      </c>
      <c r="D8" s="68" t="s">
        <v>815</v>
      </c>
      <c r="E8" s="68" t="s">
        <v>816</v>
      </c>
      <c r="F8" s="68" t="s">
        <v>6</v>
      </c>
      <c r="G8" s="68" t="s">
        <v>166</v>
      </c>
      <c r="H8" s="68" t="s">
        <v>168</v>
      </c>
      <c r="I8" s="68" t="s">
        <v>171</v>
      </c>
      <c r="J8" s="68" t="s">
        <v>817</v>
      </c>
      <c r="K8" s="68" t="s">
        <v>172</v>
      </c>
    </row>
    <row r="9" spans="2:11" ht="60" customHeight="1" x14ac:dyDescent="0.25">
      <c r="B9" s="69" t="s">
        <v>818</v>
      </c>
      <c r="C9" s="70" t="s">
        <v>819</v>
      </c>
      <c r="D9" s="62" t="s">
        <v>820</v>
      </c>
      <c r="E9" s="63" t="s">
        <v>821</v>
      </c>
      <c r="F9" s="64" t="s">
        <v>100</v>
      </c>
      <c r="G9" s="65" t="s">
        <v>579</v>
      </c>
      <c r="H9" s="64" t="s">
        <v>111</v>
      </c>
      <c r="I9" s="71">
        <v>6</v>
      </c>
      <c r="J9" s="66" t="s">
        <v>822</v>
      </c>
      <c r="K9" s="43" t="s">
        <v>823</v>
      </c>
    </row>
    <row r="10" spans="2:11" ht="60" customHeight="1" x14ac:dyDescent="0.25">
      <c r="B10" s="72" t="s">
        <v>824</v>
      </c>
      <c r="C10" s="73" t="s">
        <v>825</v>
      </c>
      <c r="D10" s="54" t="s">
        <v>826</v>
      </c>
      <c r="E10" s="55" t="s">
        <v>821</v>
      </c>
      <c r="F10" s="56" t="s">
        <v>100</v>
      </c>
      <c r="G10" s="57" t="s">
        <v>827</v>
      </c>
      <c r="H10" s="56" t="s">
        <v>111</v>
      </c>
      <c r="I10" s="74">
        <v>4</v>
      </c>
      <c r="J10" s="58" t="s">
        <v>828</v>
      </c>
      <c r="K10" s="43" t="s">
        <v>829</v>
      </c>
    </row>
    <row r="11" spans="2:11" ht="60" customHeight="1" x14ac:dyDescent="0.25">
      <c r="B11" s="69" t="s">
        <v>830</v>
      </c>
      <c r="C11" s="70" t="s">
        <v>831</v>
      </c>
      <c r="D11" s="62" t="s">
        <v>832</v>
      </c>
      <c r="E11" s="63" t="s">
        <v>821</v>
      </c>
      <c r="F11" s="64" t="s">
        <v>100</v>
      </c>
      <c r="G11" s="65" t="s">
        <v>512</v>
      </c>
      <c r="H11" s="64" t="s">
        <v>111</v>
      </c>
      <c r="I11" s="71">
        <v>12</v>
      </c>
      <c r="J11" s="66" t="s">
        <v>833</v>
      </c>
      <c r="K11" s="43" t="s">
        <v>834</v>
      </c>
    </row>
    <row r="12" spans="2:11" ht="60" customHeight="1" x14ac:dyDescent="0.25">
      <c r="B12" s="72" t="s">
        <v>835</v>
      </c>
      <c r="C12" s="73" t="s">
        <v>836</v>
      </c>
      <c r="D12" s="54" t="s">
        <v>837</v>
      </c>
      <c r="E12" s="55" t="s">
        <v>821</v>
      </c>
      <c r="F12" s="56" t="s">
        <v>100</v>
      </c>
      <c r="G12" s="57" t="s">
        <v>517</v>
      </c>
      <c r="H12" s="56" t="s">
        <v>111</v>
      </c>
      <c r="I12" s="74">
        <v>20</v>
      </c>
      <c r="J12" s="58" t="s">
        <v>838</v>
      </c>
      <c r="K12" s="43" t="s">
        <v>839</v>
      </c>
    </row>
    <row r="13" spans="2:11" ht="60" customHeight="1" x14ac:dyDescent="0.25">
      <c r="B13" s="69" t="s">
        <v>840</v>
      </c>
      <c r="C13" s="70" t="s">
        <v>841</v>
      </c>
      <c r="D13" s="62" t="s">
        <v>842</v>
      </c>
      <c r="E13" s="63" t="s">
        <v>821</v>
      </c>
      <c r="F13" s="64" t="s">
        <v>100</v>
      </c>
      <c r="G13" s="65" t="s">
        <v>843</v>
      </c>
      <c r="H13" s="64" t="s">
        <v>113</v>
      </c>
      <c r="I13" s="71">
        <v>10</v>
      </c>
      <c r="J13" s="66" t="s">
        <v>844</v>
      </c>
      <c r="K13" s="43" t="s">
        <v>845</v>
      </c>
    </row>
    <row r="14" spans="2:11" ht="60" customHeight="1" x14ac:dyDescent="0.25">
      <c r="B14" s="72" t="s">
        <v>846</v>
      </c>
      <c r="C14" s="73" t="s">
        <v>847</v>
      </c>
      <c r="D14" s="54" t="s">
        <v>848</v>
      </c>
      <c r="E14" s="55" t="s">
        <v>821</v>
      </c>
      <c r="F14" s="56" t="s">
        <v>100</v>
      </c>
      <c r="G14" s="57" t="s">
        <v>591</v>
      </c>
      <c r="H14" s="56" t="s">
        <v>113</v>
      </c>
      <c r="I14" s="74">
        <v>12</v>
      </c>
      <c r="J14" s="58" t="s">
        <v>849</v>
      </c>
      <c r="K14" s="43" t="s">
        <v>850</v>
      </c>
    </row>
    <row r="15" spans="2:11" ht="60" customHeight="1" x14ac:dyDescent="0.25">
      <c r="B15" s="69" t="s">
        <v>851</v>
      </c>
      <c r="C15" s="70" t="s">
        <v>852</v>
      </c>
      <c r="D15" s="62" t="s">
        <v>853</v>
      </c>
      <c r="E15" s="63" t="s">
        <v>821</v>
      </c>
      <c r="F15" s="64" t="s">
        <v>100</v>
      </c>
      <c r="G15" s="65" t="s">
        <v>610</v>
      </c>
      <c r="H15" s="64" t="s">
        <v>111</v>
      </c>
      <c r="I15" s="71">
        <v>6</v>
      </c>
      <c r="J15" s="66" t="s">
        <v>854</v>
      </c>
      <c r="K15" s="43" t="s">
        <v>855</v>
      </c>
    </row>
    <row r="16" spans="2:11" ht="60" customHeight="1" x14ac:dyDescent="0.25">
      <c r="B16" s="72" t="s">
        <v>856</v>
      </c>
      <c r="C16" s="73" t="s">
        <v>857</v>
      </c>
      <c r="D16" s="54" t="s">
        <v>858</v>
      </c>
      <c r="E16" s="55" t="s">
        <v>617</v>
      </c>
      <c r="F16" s="56" t="s">
        <v>100</v>
      </c>
      <c r="G16" s="57" t="s">
        <v>603</v>
      </c>
      <c r="H16" s="56" t="s">
        <v>111</v>
      </c>
      <c r="I16" s="74">
        <v>16</v>
      </c>
      <c r="J16" s="58" t="s">
        <v>859</v>
      </c>
      <c r="K16" s="43" t="s">
        <v>860</v>
      </c>
    </row>
    <row r="17" spans="2:11" ht="60" customHeight="1" x14ac:dyDescent="0.25">
      <c r="B17" s="69" t="s">
        <v>861</v>
      </c>
      <c r="C17" s="70" t="s">
        <v>862</v>
      </c>
      <c r="D17" s="62" t="s">
        <v>863</v>
      </c>
      <c r="E17" s="63" t="s">
        <v>617</v>
      </c>
      <c r="F17" s="64" t="s">
        <v>100</v>
      </c>
      <c r="G17" s="65" t="s">
        <v>591</v>
      </c>
      <c r="H17" s="64" t="s">
        <v>111</v>
      </c>
      <c r="I17" s="71">
        <v>20</v>
      </c>
      <c r="J17" s="66" t="s">
        <v>864</v>
      </c>
      <c r="K17" s="43" t="s">
        <v>865</v>
      </c>
    </row>
    <row r="18" spans="2:11" ht="60" customHeight="1" x14ac:dyDescent="0.25">
      <c r="B18" s="72" t="s">
        <v>866</v>
      </c>
      <c r="C18" s="73" t="s">
        <v>867</v>
      </c>
      <c r="D18" s="54" t="s">
        <v>868</v>
      </c>
      <c r="E18" s="55" t="s">
        <v>617</v>
      </c>
      <c r="F18" s="56" t="s">
        <v>100</v>
      </c>
      <c r="G18" s="57" t="s">
        <v>869</v>
      </c>
      <c r="H18" s="56" t="s">
        <v>113</v>
      </c>
      <c r="I18" s="74">
        <v>16</v>
      </c>
      <c r="J18" s="58" t="s">
        <v>870</v>
      </c>
      <c r="K18" s="43" t="s">
        <v>871</v>
      </c>
    </row>
    <row r="19" spans="2:11" ht="60" customHeight="1" x14ac:dyDescent="0.25">
      <c r="B19" s="69" t="s">
        <v>872</v>
      </c>
      <c r="C19" s="70" t="s">
        <v>873</v>
      </c>
      <c r="D19" s="62" t="s">
        <v>874</v>
      </c>
      <c r="E19" s="63" t="s">
        <v>617</v>
      </c>
      <c r="F19" s="64" t="s">
        <v>100</v>
      </c>
      <c r="G19" s="65" t="s">
        <v>610</v>
      </c>
      <c r="H19" s="64" t="s">
        <v>111</v>
      </c>
      <c r="I19" s="71">
        <v>16</v>
      </c>
      <c r="J19" s="66" t="s">
        <v>875</v>
      </c>
      <c r="K19" s="43" t="s">
        <v>876</v>
      </c>
    </row>
    <row r="20" spans="2:11" ht="60" customHeight="1" x14ac:dyDescent="0.25">
      <c r="B20" s="72" t="s">
        <v>877</v>
      </c>
      <c r="C20" s="73" t="s">
        <v>878</v>
      </c>
      <c r="D20" s="54" t="s">
        <v>879</v>
      </c>
      <c r="E20" s="55" t="s">
        <v>880</v>
      </c>
      <c r="F20" s="56" t="s">
        <v>100</v>
      </c>
      <c r="G20" s="57" t="s">
        <v>881</v>
      </c>
      <c r="H20" s="56" t="s">
        <v>113</v>
      </c>
      <c r="I20" s="74">
        <v>12</v>
      </c>
      <c r="J20" s="58"/>
      <c r="K20" s="43" t="s">
        <v>882</v>
      </c>
    </row>
    <row r="21" spans="2:11" ht="60" customHeight="1" x14ac:dyDescent="0.25">
      <c r="B21" s="69" t="s">
        <v>883</v>
      </c>
      <c r="C21" s="70" t="s">
        <v>884</v>
      </c>
      <c r="D21" s="62" t="s">
        <v>885</v>
      </c>
      <c r="E21" s="63" t="s">
        <v>886</v>
      </c>
      <c r="F21" s="64" t="s">
        <v>100</v>
      </c>
      <c r="G21" s="65" t="s">
        <v>65</v>
      </c>
      <c r="H21" s="64" t="s">
        <v>113</v>
      </c>
      <c r="I21" s="71">
        <v>8</v>
      </c>
      <c r="J21" s="66" t="s">
        <v>887</v>
      </c>
      <c r="K21" s="43" t="s">
        <v>888</v>
      </c>
    </row>
    <row r="24" spans="2:11" ht="26.1" customHeight="1" x14ac:dyDescent="0.25">
      <c r="B24" s="104" t="s">
        <v>889</v>
      </c>
      <c r="C24" s="85"/>
      <c r="D24" s="85"/>
      <c r="E24" s="85"/>
      <c r="F24" s="85"/>
      <c r="G24" s="85"/>
      <c r="H24" s="85"/>
      <c r="I24" s="85"/>
      <c r="J24" s="85"/>
      <c r="K24" s="85"/>
    </row>
    <row r="25" spans="2:11" ht="180" customHeight="1" x14ac:dyDescent="0.25">
      <c r="B25" s="88" t="s">
        <v>890</v>
      </c>
      <c r="C25" s="85"/>
      <c r="D25" s="85"/>
      <c r="E25" s="85"/>
      <c r="F25" s="85"/>
      <c r="G25" s="85"/>
      <c r="H25" s="85"/>
      <c r="I25" s="85"/>
      <c r="J25" s="85"/>
      <c r="K25" s="85"/>
    </row>
    <row r="27" spans="2:11" ht="26.1" customHeight="1" x14ac:dyDescent="0.25">
      <c r="B27" s="104" t="s">
        <v>891</v>
      </c>
      <c r="C27" s="85"/>
      <c r="D27" s="85"/>
      <c r="E27" s="85"/>
      <c r="F27" s="85"/>
      <c r="G27" s="85"/>
      <c r="H27" s="85"/>
      <c r="I27" s="85"/>
      <c r="J27" s="85"/>
      <c r="K27" s="85"/>
    </row>
    <row r="28" spans="2:11" ht="270" customHeight="1" x14ac:dyDescent="0.25">
      <c r="B28" s="106" t="s">
        <v>892</v>
      </c>
      <c r="C28" s="85"/>
      <c r="D28" s="85"/>
      <c r="E28" s="85"/>
      <c r="F28" s="85"/>
      <c r="G28" s="85"/>
      <c r="H28" s="85"/>
      <c r="I28" s="85"/>
      <c r="J28" s="85"/>
      <c r="K28" s="85"/>
    </row>
  </sheetData>
  <mergeCells count="9">
    <mergeCell ref="B28:K28"/>
    <mergeCell ref="B5:K5"/>
    <mergeCell ref="B1:K1"/>
    <mergeCell ref="B4:K4"/>
    <mergeCell ref="B27:K27"/>
    <mergeCell ref="B7:K7"/>
    <mergeCell ref="B25:K25"/>
    <mergeCell ref="B24:K24"/>
    <mergeCell ref="B2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G18"/>
  <sheetViews>
    <sheetView workbookViewId="0">
      <pane xSplit="1" ySplit="4" topLeftCell="B5" activePane="bottomRight" state="frozen"/>
      <selection pane="topRight"/>
      <selection pane="bottomLeft"/>
      <selection pane="bottomRight" activeCell="I5" sqref="I5"/>
    </sheetView>
  </sheetViews>
  <sheetFormatPr defaultRowHeight="15" x14ac:dyDescent="0.25"/>
  <cols>
    <col min="1" max="1" width="3" customWidth="1"/>
    <col min="2" max="2" width="7" customWidth="1"/>
    <col min="3" max="3" width="32" customWidth="1"/>
    <col min="4" max="4" width="55" customWidth="1"/>
    <col min="5" max="6" width="14" customWidth="1"/>
    <col min="7" max="7" width="10" customWidth="1"/>
  </cols>
  <sheetData>
    <row r="1" spans="2:7" ht="27.95" customHeight="1" x14ac:dyDescent="0.25">
      <c r="B1" s="109" t="s">
        <v>893</v>
      </c>
      <c r="C1" s="85"/>
      <c r="D1" s="85"/>
      <c r="E1" s="85"/>
      <c r="F1" s="85"/>
      <c r="G1" s="85"/>
    </row>
    <row r="2" spans="2:7" ht="15.95" customHeight="1" x14ac:dyDescent="0.25">
      <c r="B2" s="108" t="s">
        <v>894</v>
      </c>
      <c r="C2" s="85"/>
      <c r="D2" s="85"/>
      <c r="E2" s="85"/>
      <c r="F2" s="85"/>
      <c r="G2" s="85"/>
    </row>
    <row r="4" spans="2:7" ht="21.95" customHeight="1" x14ac:dyDescent="0.25">
      <c r="B4" s="75" t="s">
        <v>161</v>
      </c>
      <c r="C4" s="75" t="s">
        <v>895</v>
      </c>
      <c r="D4" s="75" t="s">
        <v>896</v>
      </c>
      <c r="E4" s="75" t="s">
        <v>40</v>
      </c>
      <c r="F4" s="75" t="s">
        <v>164</v>
      </c>
      <c r="G4" s="75" t="s">
        <v>897</v>
      </c>
    </row>
    <row r="5" spans="2:7" ht="84.95" customHeight="1" x14ac:dyDescent="0.25">
      <c r="B5" s="76" t="s">
        <v>898</v>
      </c>
      <c r="C5" s="77" t="s">
        <v>899</v>
      </c>
      <c r="D5" s="78" t="s">
        <v>900</v>
      </c>
      <c r="E5" s="79" t="s">
        <v>47</v>
      </c>
      <c r="F5" s="79" t="s">
        <v>901</v>
      </c>
      <c r="G5" s="80">
        <v>15</v>
      </c>
    </row>
    <row r="6" spans="2:7" ht="84.95" customHeight="1" x14ac:dyDescent="0.25">
      <c r="B6" s="81" t="s">
        <v>902</v>
      </c>
      <c r="C6" s="82" t="s">
        <v>903</v>
      </c>
      <c r="D6" s="78" t="s">
        <v>904</v>
      </c>
      <c r="E6" s="57" t="s">
        <v>905</v>
      </c>
      <c r="F6" s="57" t="s">
        <v>906</v>
      </c>
      <c r="G6" s="83">
        <v>20</v>
      </c>
    </row>
    <row r="7" spans="2:7" ht="84.95" customHeight="1" x14ac:dyDescent="0.25">
      <c r="B7" s="76" t="s">
        <v>907</v>
      </c>
      <c r="C7" s="77" t="s">
        <v>908</v>
      </c>
      <c r="D7" s="78" t="s">
        <v>909</v>
      </c>
      <c r="E7" s="79" t="s">
        <v>47</v>
      </c>
      <c r="F7" s="79" t="s">
        <v>901</v>
      </c>
      <c r="G7" s="80">
        <v>10</v>
      </c>
    </row>
    <row r="8" spans="2:7" ht="84.95" customHeight="1" x14ac:dyDescent="0.25">
      <c r="B8" s="81" t="s">
        <v>910</v>
      </c>
      <c r="C8" s="82" t="s">
        <v>911</v>
      </c>
      <c r="D8" s="78" t="s">
        <v>912</v>
      </c>
      <c r="E8" s="57" t="s">
        <v>47</v>
      </c>
      <c r="F8" s="57" t="s">
        <v>229</v>
      </c>
      <c r="G8" s="83">
        <v>20</v>
      </c>
    </row>
    <row r="9" spans="2:7" ht="84.95" customHeight="1" x14ac:dyDescent="0.25">
      <c r="B9" s="76" t="s">
        <v>913</v>
      </c>
      <c r="C9" s="77" t="s">
        <v>914</v>
      </c>
      <c r="D9" s="78" t="s">
        <v>915</v>
      </c>
      <c r="E9" s="79" t="s">
        <v>916</v>
      </c>
      <c r="F9" s="79" t="s">
        <v>917</v>
      </c>
      <c r="G9" s="80">
        <v>15</v>
      </c>
    </row>
    <row r="10" spans="2:7" ht="84.95" customHeight="1" x14ac:dyDescent="0.25">
      <c r="B10" s="81" t="s">
        <v>918</v>
      </c>
      <c r="C10" s="82" t="s">
        <v>919</v>
      </c>
      <c r="D10" s="78" t="s">
        <v>920</v>
      </c>
      <c r="E10" s="57" t="s">
        <v>921</v>
      </c>
      <c r="F10" s="57" t="s">
        <v>922</v>
      </c>
      <c r="G10" s="83">
        <v>20</v>
      </c>
    </row>
    <row r="11" spans="2:7" ht="84.95" customHeight="1" x14ac:dyDescent="0.25">
      <c r="B11" s="76" t="s">
        <v>923</v>
      </c>
      <c r="C11" s="77" t="s">
        <v>924</v>
      </c>
      <c r="D11" s="78" t="s">
        <v>925</v>
      </c>
      <c r="E11" s="79" t="s">
        <v>926</v>
      </c>
      <c r="F11" s="79" t="s">
        <v>927</v>
      </c>
      <c r="G11" s="80">
        <v>15</v>
      </c>
    </row>
    <row r="12" spans="2:7" ht="84.95" customHeight="1" x14ac:dyDescent="0.25">
      <c r="B12" s="81" t="s">
        <v>928</v>
      </c>
      <c r="C12" s="82" t="s">
        <v>929</v>
      </c>
      <c r="D12" s="78" t="s">
        <v>930</v>
      </c>
      <c r="E12" s="57" t="s">
        <v>926</v>
      </c>
      <c r="F12" s="57" t="s">
        <v>931</v>
      </c>
      <c r="G12" s="83">
        <v>10</v>
      </c>
    </row>
    <row r="13" spans="2:7" ht="84.95" customHeight="1" x14ac:dyDescent="0.25">
      <c r="B13" s="76" t="s">
        <v>932</v>
      </c>
      <c r="C13" s="77" t="s">
        <v>933</v>
      </c>
      <c r="D13" s="78" t="s">
        <v>934</v>
      </c>
      <c r="E13" s="79" t="s">
        <v>935</v>
      </c>
      <c r="F13" s="79" t="s">
        <v>936</v>
      </c>
      <c r="G13" s="80">
        <v>20</v>
      </c>
    </row>
    <row r="14" spans="2:7" ht="84.95" customHeight="1" x14ac:dyDescent="0.25">
      <c r="B14" s="81" t="s">
        <v>937</v>
      </c>
      <c r="C14" s="82" t="s">
        <v>938</v>
      </c>
      <c r="D14" s="78" t="s">
        <v>939</v>
      </c>
      <c r="E14" s="57" t="s">
        <v>62</v>
      </c>
      <c r="F14" s="57" t="s">
        <v>940</v>
      </c>
      <c r="G14" s="83">
        <v>20</v>
      </c>
    </row>
    <row r="15" spans="2:7" ht="84.95" customHeight="1" x14ac:dyDescent="0.25">
      <c r="B15" s="76" t="s">
        <v>941</v>
      </c>
      <c r="C15" s="77" t="s">
        <v>942</v>
      </c>
      <c r="D15" s="78" t="s">
        <v>943</v>
      </c>
      <c r="E15" s="79" t="s">
        <v>52</v>
      </c>
      <c r="F15" s="79" t="s">
        <v>302</v>
      </c>
      <c r="G15" s="80">
        <v>15</v>
      </c>
    </row>
    <row r="16" spans="2:7" ht="84.95" customHeight="1" x14ac:dyDescent="0.25">
      <c r="B16" s="81" t="s">
        <v>944</v>
      </c>
      <c r="C16" s="82" t="s">
        <v>945</v>
      </c>
      <c r="D16" s="78" t="s">
        <v>946</v>
      </c>
      <c r="E16" s="57" t="s">
        <v>62</v>
      </c>
      <c r="F16" s="57" t="s">
        <v>947</v>
      </c>
      <c r="G16" s="83">
        <v>25</v>
      </c>
    </row>
    <row r="17" spans="2:7" ht="84.95" customHeight="1" x14ac:dyDescent="0.25">
      <c r="B17" s="76" t="s">
        <v>948</v>
      </c>
      <c r="C17" s="77" t="s">
        <v>949</v>
      </c>
      <c r="D17" s="78" t="s">
        <v>950</v>
      </c>
      <c r="E17" s="79" t="s">
        <v>951</v>
      </c>
      <c r="F17" s="79" t="s">
        <v>952</v>
      </c>
      <c r="G17" s="80">
        <v>20</v>
      </c>
    </row>
    <row r="18" spans="2:7" ht="84.95" customHeight="1" x14ac:dyDescent="0.25">
      <c r="B18" s="81" t="s">
        <v>953</v>
      </c>
      <c r="C18" s="82" t="s">
        <v>954</v>
      </c>
      <c r="D18" s="78" t="s">
        <v>955</v>
      </c>
      <c r="E18" s="57" t="s">
        <v>69</v>
      </c>
      <c r="F18" s="57" t="s">
        <v>956</v>
      </c>
      <c r="G18" s="83">
        <v>15</v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📋 Opis Projektu</vt:lpstr>
      <vt:lpstr>📊 Dashboard</vt:lpstr>
      <vt:lpstr>📘 Instrukcja</vt:lpstr>
      <vt:lpstr>FAZA 0</vt:lpstr>
      <vt:lpstr>FAZA 1</vt:lpstr>
      <vt:lpstr>FAZA 2</vt:lpstr>
      <vt:lpstr>FAZA 3</vt:lpstr>
      <vt:lpstr>FAZA 4</vt:lpstr>
      <vt:lpstr>FAZA 5</vt:lpstr>
      <vt:lpstr>FAZA 6</vt:lpstr>
      <vt:lpstr>📱 GPS App &amp; Panel</vt:lpstr>
      <vt:lpstr>🤖 Pomoc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Andrzej Salski</cp:lastModifiedBy>
  <dcterms:created xsi:type="dcterms:W3CDTF">2026-05-18T13:59:55Z</dcterms:created>
  <dcterms:modified xsi:type="dcterms:W3CDTF">2026-05-18T14:41:32Z</dcterms:modified>
</cp:coreProperties>
</file>