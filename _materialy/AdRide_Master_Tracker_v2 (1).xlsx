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Opis Projektu" sheetId="1" r:id="rId4"/>
    <sheet state="visible" name="📊 Dashboard" sheetId="2" r:id="rId5"/>
    <sheet state="visible" name="📘 Instrukcja" sheetId="3" r:id="rId6"/>
    <sheet state="visible" name="FAZA 0" sheetId="4" r:id="rId7"/>
    <sheet state="visible" name="📱 GPS App &amp; Panel" sheetId="5" r:id="rId8"/>
    <sheet state="visible" name="FAZA 1" sheetId="6" r:id="rId9"/>
    <sheet state="visible" name="FAZA 2" sheetId="7" r:id="rId10"/>
    <sheet state="visible" name="FAZA 3" sheetId="8" r:id="rId11"/>
    <sheet state="visible" name="FAZA 4" sheetId="9" r:id="rId12"/>
    <sheet state="visible" name="FAZA 5" sheetId="10" r:id="rId13"/>
    <sheet state="visible" name="FAZA 6" sheetId="11" r:id="rId14"/>
    <sheet state="visible" name="🤖 Pomoc AI" sheetId="12" r:id="rId15"/>
    <sheet state="visible" name="8 EKSP" sheetId="13" r:id="rId16"/>
  </sheets>
  <definedNames/>
  <calcPr/>
  <extLst>
    <ext uri="GoogleSheetsCustomDataVersion2">
      <go:sheetsCustomData xmlns:go="http://customooxmlschemas.google.com/" r:id="rId17" roundtripDataChecksum="ujFi8yC8UnEv/CqNStlIOgnwyoqzUtxF6/hPFou/Kgw="/>
    </ext>
  </extLst>
</workbook>
</file>

<file path=xl/sharedStrings.xml><?xml version="1.0" encoding="utf-8"?>
<sst xmlns="http://schemas.openxmlformats.org/spreadsheetml/2006/main" count="1849" uniqueCount="1139">
  <si>
    <t>🚗 AdRide.pl — Master Project Tracker v2.0 | Maj 2026</t>
  </si>
  <si>
    <t>Platforma reklamy mobilnej GPS | Warszawa → Polska | Owner: Andrzej: Founder + Justyna PM</t>
  </si>
  <si>
    <t>📌 O PROJEKCIE — Czym jest AdRide?</t>
  </si>
  <si>
    <t>AdRide.pl to pierwsza polska platforma marketplace łącząca:
• KIEROWCÓW prywatnych aut (zarabiają 400–1500 zł/mies. na oklejeniu auta reklamą)  
• REKLAMODAWCÓW lokalnych (płacą za mierzalne km ekspozycji, nie za "zasięg szacunkowy")
USP (Unique Selling Proposition):
→ GPS rozliczanie per km (jedyni w Polsce) | Gwarancja 1500 km/mies. lub przedłużenie bezpłatne
→ Panel online 24/7: mapa LIVE tras, impressions, CPM, raporty automatyczne
Pozycjonowanie (Seth Godin):  "Twoja reklama jedzie tam gdzie są Twoi klienci."
Model Hormozi:  Pakiet START — 997 zł/mies. (1 pojazd) | Pakiet SCALE — 2497 zł/mies. (3–5 pojazdów)
Funnel Brunson: Kalkulator Zasięgu GPS (lead magnet) → 5 emaili → Rozmowa → Umowa
Fazy projektu: FAZA 0 (fundamenty) → FAZA 1 (prawna) → FAZA 2 (akwizycja) → FAZA 3 (pilotaż) 
               → FAZA 4 (platforma MVP + GPS App) → FAZA 5 (50 aut) → FAZA 6 (break-even 100 aut)</t>
  </si>
  <si>
    <t>📂 STRUKTURA PLIKU — Opis zakładek</t>
  </si>
  <si>
    <t>ZAKŁADKA</t>
  </si>
  <si>
    <t>CO ZAWIERA</t>
  </si>
  <si>
    <t>STATUS</t>
  </si>
  <si>
    <t>📋 Opis Projektu (TEN ARKUSZ)</t>
  </si>
  <si>
    <t>Opis projektu, struktura zakładek, legenda statusów, nawigacja do zakładek</t>
  </si>
  <si>
    <t>Wszystkie fazy</t>
  </si>
  <si>
    <t>📊 Dashboard</t>
  </si>
  <si>
    <t>Status każdej fazy, % ukończenia, KPI Gates — widok dla Foundera</t>
  </si>
  <si>
    <t>📘 Instrukcja</t>
  </si>
  <si>
    <t>Jak używać pliku, statusy, priorytety, workflow tygodniowy</t>
  </si>
  <si>
    <t>FAZA 0 — Fundamenty</t>
  </si>
  <si>
    <t>20 zadań: ownership, model finansowy, strona, aplikacja GPS (spec), pierwsze kontakty. 07–14.05.2026</t>
  </si>
  <si>
    <t>Aktywna 🔄</t>
  </si>
  <si>
    <t>FAZA 1 — Prawna</t>
  </si>
  <si>
    <t>17 zadań: umowy, RODO, partnerstwo foliowanie, CRM B2B. 14–28.05.2026</t>
  </si>
  <si>
    <t>FAZA 2 — Akwizycja</t>
  </si>
  <si>
    <t>17 zadań: kierowcy waitinglist, cold outreach B2B, case study Piotr. 28.05–25.06.2026</t>
  </si>
  <si>
    <t>Planowana ⏳</t>
  </si>
  <si>
    <t>FAZA 3 — Pilotaż</t>
  </si>
  <si>
    <t>12 zadań: oklejenie 5–10 aut, GPS aktywacja, raport i case study. 25.06–31.07.2026</t>
  </si>
  <si>
    <t>FAZA 4 — Platforma MVP</t>
  </si>
  <si>
    <t>13 zadań GPS App: React Native tracker, panele reklamodawcy + admina, Stripe Connect. 01.07–15.08.2026</t>
  </si>
  <si>
    <t>FAZA 5 — Skalowanie 50 Aut</t>
  </si>
  <si>
    <t>13 zadań: 50 kierowców, 5 reklamodawców, MRR 100k, kalkulator GPS, automatyzacje. 15.08–23.10.2026</t>
  </si>
  <si>
    <t>FAZA 6 — Break-even 100 Aut</t>
  </si>
  <si>
    <t>11 zadań: 100 aut, zysk 25k/mies., start 2. miasto, GPS App v2.0, fundraising. 23.10–31.12.2026</t>
  </si>
  <si>
    <t>📱 GPS App &amp; Panel</t>
  </si>
  <si>
    <t>NOWA ZAKŁADKA: pełna specyfikacja techniczna aplikacji GPS + panelu reklamodawcy. 13 zadań G.01–G.13. Stack: React Native + Next.js + Supabase + Mapbox + Stripe Connect. Algorytm impressions i CPM.</t>
  </si>
  <si>
    <t>🆕 NOWA</t>
  </si>
  <si>
    <t>🤖 Pomoc AI</t>
  </si>
  <si>
    <t>NOWA ZAKŁADKA: 14 promptów gotowych do użycia w Perplexity/Claude/GPT dla każdego obszaru projektu</t>
  </si>
  <si>
    <t>🎨 LEGENDA — Statusy i Priorytety</t>
  </si>
  <si>
    <t xml:space="preserve">STATUSY ZADAŃ:  ⏳ TODO (nie zaczęte)  |  🔄 IN PROGRESS (w toku)  |  ✅ DONE (zakończone)  |  🚫 BLOCKED (zablokowane)  |  ⏭ SKIP (pominięte)
PRIORYTETY:     🔴 KRYTYCZNY (dziś/jutro)  |  🟠 WYSOKI (w tym tygodniu)  |  🟡 ŚREDNI (w tej fazie)  |  🟢 NISKI (gdy czas)
POMOC AI:       Kolumna "POMOC AI 🤖" w każdej zakładce wskazuje zadania gdzie AI może pomóc + numer promptu (np. P-07)
                → Otwórz zakładkę 🤖 Pomoc AI, znajdź prompt o wskazanym ID, skopiuj i wklej do Claude/Perplexity
GPS APP:        Zadania techniczne aplikacji GPS mają ID G.01–G.13 i są opisane w zakładce 📱 GPS App &amp; Panel
</t>
  </si>
  <si>
    <t>🚗 AdRide.pl — Project Tracker &amp; Status Dashboard v2.0</t>
  </si>
  <si>
    <t>Wersja 2.0 | Maj 2026 | Owner: Founder + Justyna | Aktualizacja: 18.05.2026</t>
  </si>
  <si>
    <t>📈 STATUS FAZ</t>
  </si>
  <si>
    <t>FAZA</t>
  </si>
  <si>
    <t>NAZWA FAZY</t>
  </si>
  <si>
    <t>DATA START</t>
  </si>
  <si>
    <t>DATA KONIEC</t>
  </si>
  <si>
    <t>ZADAŃ</t>
  </si>
  <si>
    <t>DONE</t>
  </si>
  <si>
    <t>% UKOŃCZENIA</t>
  </si>
  <si>
    <t>FAZA 0</t>
  </si>
  <si>
    <t>Fundamenty &amp; Decyzje</t>
  </si>
  <si>
    <t>07.05.2026</t>
  </si>
  <si>
    <t>14.05.2026</t>
  </si>
  <si>
    <t>🔄 W TOKU</t>
  </si>
  <si>
    <t>FAZA 1</t>
  </si>
  <si>
    <t>Prawna &amp; Partnerstwa</t>
  </si>
  <si>
    <t>28.05.2026</t>
  </si>
  <si>
    <t>FAZA 2</t>
  </si>
  <si>
    <t>Akwizycja Kierowców &amp; Leady B2B</t>
  </si>
  <si>
    <t>25.06.2026</t>
  </si>
  <si>
    <t>⏳ PLANOWANA</t>
  </si>
  <si>
    <t>FAZA 3</t>
  </si>
  <si>
    <t>Pilotaż 5–10 Aut</t>
  </si>
  <si>
    <t>31.07.2026</t>
  </si>
  <si>
    <t>FAZA 4</t>
  </si>
  <si>
    <t>Platforma MVP + GPS App</t>
  </si>
  <si>
    <t>01.07.2026</t>
  </si>
  <si>
    <t>15.08.2026</t>
  </si>
  <si>
    <t>FAZA 5</t>
  </si>
  <si>
    <t>Skalowanie 50 Aut</t>
  </si>
  <si>
    <t>23.10.2026</t>
  </si>
  <si>
    <t>FAZA 6</t>
  </si>
  <si>
    <t>Break-even 100 Aut</t>
  </si>
  <si>
    <t>31.12.2026</t>
  </si>
  <si>
    <t>🎯 KPI GATES — WARUNKI PRZEJŚCIA DO KOLEJNEJ FAZY</t>
  </si>
  <si>
    <t>PRZEJŚCIE</t>
  </si>
  <si>
    <t>KPI GATE (CO MUSI BYĆ GOTOWE)</t>
  </si>
  <si>
    <t>TARGET</t>
  </si>
  <si>
    <t>FAZA 0→1</t>
  </si>
  <si>
    <t>Ownership + Deck v1.0 + Unit economics + Kontakt Sebastian/Piotr + Hero podmienione + Spec GPS</t>
  </si>
  <si>
    <t>5 deliverables</t>
  </si>
  <si>
    <t>🔄</t>
  </si>
  <si>
    <t>FAZA 1→2</t>
  </si>
  <si>
    <t>Umowa z Włodkiem + Wzory umów prawne + Regulamin/PP + CRM 30 firm + Cennik foliowania</t>
  </si>
  <si>
    <t>FAZA 2→3</t>
  </si>
  <si>
    <t>50 kierowców waitinglist + 1 umowa pilotażowa podpisana + Case study Piotr gotowy</t>
  </si>
  <si>
    <t>50 + 1 + 1</t>
  </si>
  <si>
    <t>⏳</t>
  </si>
  <si>
    <t>FAZA 3→4</t>
  </si>
  <si>
    <t>5–10 aut oklejonych + Raport GPS + Pierwsza faktura opłacona + Case study online</t>
  </si>
  <si>
    <t>min. 5 aut</t>
  </si>
  <si>
    <t>FAZA 4→5</t>
  </si>
  <si>
    <t>GPS App iOS+Android live + Panel kierowcy + Panel reklamodawcy + Stripe Connect</t>
  </si>
  <si>
    <t>3 moduły live</t>
  </si>
  <si>
    <t>FAZA 5→6</t>
  </si>
  <si>
    <t>50 aktywnych aut + 5 reklamodawców + MRR ≥ 100 000 zł</t>
  </si>
  <si>
    <t>50 aut + 100k</t>
  </si>
  <si>
    <t>100 aktywnych aut + Zysk op. ≥ 25 000 zł/mies. + Start 2. miasto</t>
  </si>
  <si>
    <t>100 + 25k</t>
  </si>
  <si>
    <t>📘 INSTRUKCJA OBSŁUGI — AdRide Project Tracker v2.0</t>
  </si>
  <si>
    <t>Jak skutecznie używać tego pliku do prowadzenia projektu AdRide krok po kroku</t>
  </si>
  <si>
    <t>🔵 STATUSY ZADAŃ — jak używać dropdown:</t>
  </si>
  <si>
    <t>⏳ TODO</t>
  </si>
  <si>
    <t>Zadanie jeszcze nie zaczęte</t>
  </si>
  <si>
    <t>🔄 IN PROGRESS</t>
  </si>
  <si>
    <t>Zadanie w toku — pracujesz nad nim</t>
  </si>
  <si>
    <t>✅ DONE</t>
  </si>
  <si>
    <t>Zadanie zakończone — wiersz zmienia kolor na zielony</t>
  </si>
  <si>
    <t>🚫 BLOCKED</t>
  </si>
  <si>
    <t>Zadanie zablokowane — dopisz przyczynę w Notatkach</t>
  </si>
  <si>
    <t>⏭ SKIP</t>
  </si>
  <si>
    <t>Zadanie pominięte — nieistotne w danym kontekście</t>
  </si>
  <si>
    <t>🎯 PRIORYTETY ZADAŃ:</t>
  </si>
  <si>
    <t>🔴 KRYTYCZNY</t>
  </si>
  <si>
    <t>Zrobić dziś lub jutro. Blokuje kolejne zadania lub całą fazę</t>
  </si>
  <si>
    <t>🟠 WYSOKI</t>
  </si>
  <si>
    <t>Zrobić w tym tygodniu. Istotny wpływ na postęp projektu</t>
  </si>
  <si>
    <t>🟡 ŚREDNI</t>
  </si>
  <si>
    <t>Zrobić w tej fazie. Może poczekać kilka dni</t>
  </si>
  <si>
    <t>🟢 NISKI</t>
  </si>
  <si>
    <t>Zrobić gdy jest czas. Nie blokuje innych zadań</t>
  </si>
  <si>
    <t>📋 WORKFLOW — jak pracować z plikiem każdego tygodnia:</t>
  </si>
  <si>
    <t>1️⃣ Otwórz zakładkę aktualnej fazy</t>
  </si>
  <si>
    <t>np. "FAZA 1" lub "FAZA 2" — tam są Twoje zadania</t>
  </si>
  <si>
    <t>2️⃣ Przefiltruj kolumnę DEADLINE</t>
  </si>
  <si>
    <t>Zadania na ten tydzień = Twoja lista priorytetowa</t>
  </si>
  <si>
    <t>3️⃣ Gdy zaczynasz zadanie</t>
  </si>
  <si>
    <t>Zmień Status na 🔄 IN PROGRESS</t>
  </si>
  <si>
    <t>4️⃣ Gdy kończysz zadanie</t>
  </si>
  <si>
    <t>Zmień na ✅ DONE + wpisz datę w kolumnie DATA WYK.</t>
  </si>
  <si>
    <t>5️⃣ Gdy coś blokuje</t>
  </si>
  <si>
    <t>Zmień na 🚫 BLOCKED + opisz w Notatkach</t>
  </si>
  <si>
    <t>6️⃣ Co tydzień</t>
  </si>
  <si>
    <t>Sprawdź Dashboard — widać % ukończenia każdej fazy</t>
  </si>
  <si>
    <t>7️⃣ Faza ukończona gdy</t>
  </si>
  <si>
    <t>WSZYSTKIE zadania mają ✅ DONE lub ⏭ SKIP</t>
  </si>
  <si>
    <t>8️⃣ Przejście do kolejnej fazy</t>
  </si>
  <si>
    <t>Sprawdź KPI Gate (żółty baner na górze arkusza fazy)</t>
  </si>
  <si>
    <t>🤖 POMOC AI — jak używać zakładki Pomoc AI:</t>
  </si>
  <si>
    <t>Skąd wiedzieć że AI może pomóc?</t>
  </si>
  <si>
    <t>W kolumnie "POMOC AI 🤖" każdego zadania jest opis + numer promptu np. "→ P-07"</t>
  </si>
  <si>
    <t>Jak użyć promptu?</t>
  </si>
  <si>
    <t>Otwórz zakładkę 🤖 Pomoc AI, znajdź wiersz z ID P-07, skopiuj treść z kolumny PROMPT GOTOWY DO UŻYCIA</t>
  </si>
  <si>
    <t>Gdzie wkleić prompt?</t>
  </si>
  <si>
    <t>W Perplexity AI (tu jesteś), Claude, GPT-4o lub dowolnym modelu AI</t>
  </si>
  <si>
    <t>Co uzupełnić?</t>
  </si>
  <si>
    <t>Zmienne w [nawiasach kwadratowych] — zamień na swoje dane</t>
  </si>
  <si>
    <t>Czas oszczędności?</t>
  </si>
  <si>
    <t>Każdy prompt zaoszczędza 15–60 min pracy. Razem 14 promptów = ~5–6 godzin</t>
  </si>
  <si>
    <t>📱 GPS APP &amp; PANEL — jak używać zakładki technicznej:</t>
  </si>
  <si>
    <t>Kiedy korzystać?</t>
  </si>
  <si>
    <t>Od FAZY 4 (01.07.2026). Wcześniej: tylko spec i planowanie w FAZA 0 zadanie 0.19</t>
  </si>
  <si>
    <t>Co zawiera?</t>
  </si>
  <si>
    <t>13 zadań G.01–G.13 z opisem technicznym, tech stackiem, linkami do dokumentacji</t>
  </si>
  <si>
    <t>Dla developera?</t>
  </si>
  <si>
    <t>Przekaż mu zakładkę GPS App &amp; Panel — to gotowy brief techniczny dla programisty</t>
  </si>
  <si>
    <t>Nie masz developera?</t>
  </si>
  <si>
    <t>Użyj promptów P-10, P-12 w zakładce Pomoc AI — AI może napisać kod aplikacji GPS</t>
  </si>
  <si>
    <t>Algorytm Impressions?</t>
  </si>
  <si>
    <t>Zadanie G.08 + sekcja 4 w GPS App &amp; Panel — gotowy wzór + dane AADT do pobrania</t>
  </si>
  <si>
    <t>🚗 AdRide.pl — FAZA 0: Fundamenty &amp; Decyzje (07–14.05.2026)</t>
  </si>
  <si>
    <t>📅 07–14.05.2026 | Owner: Founder + Justyna</t>
  </si>
  <si>
    <t>🎯 KPI GATE: ✅ Ownership Justyny | ✅ Deck v1.0 gotowy | ✅ Unit economics policzone | ✅ Kontakt z Sebastianem i Piotrem | ✅ Hero podmienione | ✅ Spec GPS (zakładka GPS App)</t>
  </si>
  <si>
    <t>ID</t>
  </si>
  <si>
    <t>ZADANIE</t>
  </si>
  <si>
    <t>SZCZEGÓŁOWY OPIS</t>
  </si>
  <si>
    <t>KATEGORIA</t>
  </si>
  <si>
    <t>ODPOWIEDZIALNY</t>
  </si>
  <si>
    <t>DEADLINE</t>
  </si>
  <si>
    <t>DATA WYK.</t>
  </si>
  <si>
    <t>PRIORYTET</t>
  </si>
  <si>
    <t>NOTATKI</t>
  </si>
  <si>
    <t>LINKI / DOKUMENTY</t>
  </si>
  <si>
    <t>CZAS (h)</t>
  </si>
  <si>
    <t>POMOC AI 🤖</t>
  </si>
  <si>
    <t xml:space="preserve">  ▶  🏗️ OWNERSHIP &amp; ZESPÓŁ</t>
  </si>
  <si>
    <t>0.01</t>
  </si>
  <si>
    <t>Przeprowadź rozmowę z Justyną o roli PM</t>
  </si>
  <si>
    <t>Ustal: zakres obowiązków (PM), czas zaangażowania (FT/PT), forma prawna (UZ vs B2B), wynagrodzenie, start od kiedy</t>
  </si>
  <si>
    <t>🏗️ OWNERSHIP</t>
  </si>
  <si>
    <t>Founder</t>
  </si>
  <si>
    <t>09.05.2026</t>
  </si>
  <si>
    <t>Bez tej decyzji cały harmonogram blokowany</t>
  </si>
  <si>
    <t>✅ AI: szkic briefu dla PM, lista pytań → Pomoc AI → P-07</t>
  </si>
  <si>
    <t>0.02</t>
  </si>
  <si>
    <t>Ustal formę prawną współpracy z Justyną</t>
  </si>
  <si>
    <t>Opcje: umowa zlecenia / B2B/JDG / wspólnik. Skonsultuj z księgową</t>
  </si>
  <si>
    <t>Founder + Justyna</t>
  </si>
  <si>
    <t>11.05.2026</t>
  </si>
  <si>
    <t>08.05.2026</t>
  </si>
  <si>
    <t>Wpływ na ZUS, PIT, koszty AdRide</t>
  </si>
  <si>
    <t>✅ AI: porównanie form prawnych UZ vs B2B → Pomoc AI</t>
  </si>
  <si>
    <t>0.03</t>
  </si>
  <si>
    <t>Ustal plan wynagrodzeń na 6 miesięcy</t>
  </si>
  <si>
    <t>Wynagrodzenie Justyny + własna wypłata Foundera (tak/nie) + trigger startu wypłat</t>
  </si>
  <si>
    <t>Zapisz w dokumencie – podstawa umów</t>
  </si>
  <si>
    <t>✅ AI: szablon planu wynagrodzeń → Pomoc AI</t>
  </si>
  <si>
    <t>0.04</t>
  </si>
  <si>
    <t>Stwórz podział ról Founder vs PM (RACI)</t>
  </si>
  <si>
    <t>Founder=strategia/sprzedaż B2B; Justyna=operacje/kierowcy/social. Forma: Google Drive</t>
  </si>
  <si>
    <t>12.05.2026</t>
  </si>
  <si>
    <t>Uniknie konfliktów decyzyjnych w Fazie 1</t>
  </si>
  <si>
    <t>✅ AI: szablon RACI dla AdRide → Pomoc AI</t>
  </si>
  <si>
    <t>0.05</t>
  </si>
  <si>
    <t>Skonfiguruj workspace Google Drive / Notion</t>
  </si>
  <si>
    <t>Baza zadań, pipeline B2B, lista kierowców, tracker kampanii, kalendarz</t>
  </si>
  <si>
    <t>Justyna</t>
  </si>
  <si>
    <t>05.11.2026</t>
  </si>
  <si>
    <t>notion.so/templates → Project Management</t>
  </si>
  <si>
    <t>✅ AI: struktura Notion dla AdRide → Pomoc AI → P-09</t>
  </si>
  <si>
    <t xml:space="preserve">  ▶  📊 MODEL FINANSOWY &amp; DECK</t>
  </si>
  <si>
    <t>0.06</t>
  </si>
  <si>
    <t>Zbuduj model unit economics w Google Sheets</t>
  </si>
  <si>
    <t>Wiersze: Przychód/pojazd, Wypłata kierowcy, Marża. Scenariusze: 10/50/100 aut</t>
  </si>
  <si>
    <t>📊 MODEL</t>
  </si>
  <si>
    <t>10.05.2026</t>
  </si>
  <si>
    <t>Marża = Przychód B2B – Wypłata – Koszty admin/pojazd</t>
  </si>
  <si>
    <t>✅ AI: gotowy model unit economics → Pomoc AI → P-01</t>
  </si>
  <si>
    <t>0.07</t>
  </si>
  <si>
    <t>Zaktualizuj model: Reklamodawca płaci za oklejenie</t>
  </si>
  <si>
    <t>NOWY MODEL: AdRide pobiera prowizję. Reklamodawca płaci za oklejenie. Policz nową marżę</t>
  </si>
  <si>
    <t>Efekt: kapitał startowy drastycznie maleje</t>
  </si>
  <si>
    <t>✅ AI: analiza modelu prowizyjnego → Pomoc AI → P-02</t>
  </si>
  <si>
    <t>0.08</t>
  </si>
  <si>
    <t>Oblicz break-even przy nowym modelu</t>
  </si>
  <si>
    <t>Stałe koszty miesięczne → ile aut do break-even? Stary model: 100 aut → Nowy model: mniej</t>
  </si>
  <si>
    <t>Porównaj stary vs nowy model w tabeli</t>
  </si>
  <si>
    <t>✅ AI: kalkulator break-even → Pomoc AI → P-03</t>
  </si>
  <si>
    <t>0.09</t>
  </si>
  <si>
    <t>Przygotuj deck biznesowy v1.0 (12–15 slajdów)</t>
  </si>
  <si>
    <t>Slajdy: Problem, Rozwiązanie, Model, Unit economics, Rynek (OOH 870mln PLN), Harmonogram, Zespół, Partnerzy, Finanse, CTA</t>
  </si>
  <si>
    <t>📊 DECK</t>
  </si>
  <si>
    <t>13.05.2026</t>
  </si>
  <si>
    <t>Dla: Sebastiana, Włodka, Piotra Gilarskiego</t>
  </si>
  <si>
    <t>✅ AI: struktura decku + treść slajdów (Hormozi + Brunson) → Pomoc AI → P-04</t>
  </si>
  <si>
    <t>0.10</t>
  </si>
  <si>
    <t>Przygotuj one-pager PDF</t>
  </si>
  <si>
    <t>1 str A4: Logo+tagline, 3 kroki, ceny, co dostaje kierowca (0.60gr/km&lt;50km, 0.25gr&gt;50km), kontakt</t>
  </si>
  <si>
    <t>Wersja A4 druk + wersja cyfrowa email</t>
  </si>
  <si>
    <t>✅ AI: treść one-pagera z pozycjonowaniem Godin → Pomoc AI → P-05</t>
  </si>
  <si>
    <t xml:space="preserve">  ▶  🌐 STRONA INTERNETOWA + APLIKACJA GPS</t>
  </si>
  <si>
    <t>0.11</t>
  </si>
  <si>
    <t>Podmień zdjęcie hero na adride.pl</t>
  </si>
  <si>
    <t>Pobierz z Unsplash.com (car wrap advertising). Podmień src w ride-2.html. Deploy.</t>
  </si>
  <si>
    <t>🌐 STRONA</t>
  </si>
  <si>
    <t>DZIŚ – każdy kto odwiedza ocenia wiarygodność</t>
  </si>
  <si>
    <t>0.12</t>
  </si>
  <si>
    <t>Uzupełnij treść strony pod nowy model</t>
  </si>
  <si>
    <t>(1) sekcja Jak to działa, (2) Ceny/pakiety, (3) FAQ – kto płaci za oklejenie?</t>
  </si>
  <si>
    <t>Founder+Justyna</t>
  </si>
  <si>
    <t>CTA: "Dołącz jako kierowca" i "Zamów kampanię"</t>
  </si>
  <si>
    <t>✅ AI: copywriting strony (Godin + Hormozi) → Pomoc AI → P-06</t>
  </si>
  <si>
    <t>0.13</t>
  </si>
  <si>
    <t>Ustaw GTM + GA4 + Hotjar + Pixel FB</t>
  </si>
  <si>
    <t>GA4: darmowe, 10 min konfiguracji. Hotjar: heatmapy (free). Cel: skąd ruch, gdzie klikają</t>
  </si>
  <si>
    <t>Tag GA4 w &lt;head&gt; strony</t>
  </si>
  <si>
    <t>✅ AI: instrukcja konfiguracji GA4 i GTM → Pomoc AI</t>
  </si>
  <si>
    <t>0.14</t>
  </si>
  <si>
    <t>Utwórz profil LinkedIn firmowy AdRide.pl</t>
  </si>
  <si>
    <t>Branża: Marketing &amp; Advertising. Logo, baner, opis PL+EN. Zaproś do obserwowania</t>
  </si>
  <si>
    <t>LinkedIn potrzebny do outreach B2B w Fazie 1</t>
  </si>
  <si>
    <t>0.19</t>
  </si>
  <si>
    <t>Aplikacja GPS — specyfikacja + wybór rozwiązania MVP</t>
  </si>
  <si>
    <t>(1) Spec techniczna: śledzenie GPS, km, zdjęcia, pauza prywatna; (2) Opcja MVP: Google Maps "Udostępnij lokalizację" (0 zł); (3) Opcja docelowa: Flutter app. UWAGA: szczegóły w zakładce 📱 GPS App &amp; Panel</t>
  </si>
  <si>
    <t>🌐 APLIKACJA GPS</t>
  </si>
  <si>
    <t>20.05.2026</t>
  </si>
  <si>
    <t>Szczegóły w zakładce GPS App &amp; Panel → zadania G.01–G.11</t>
  </si>
  <si>
    <t>✅ AI: spec techniczna aplikacji GPS → zakładka GPS App + Pomoc AI → P-10, P-12, P-13</t>
  </si>
  <si>
    <t xml:space="preserve">  ▶  📬 PIERWSZE KONTAKTY BIZNESOWE</t>
  </si>
  <si>
    <t>0.15</t>
  </si>
  <si>
    <t>Napisz do Daniela (KIA) – propozycja pilotażu</t>
  </si>
  <si>
    <t>Email: przypomnij skąd się znają, AdRide=reklama GPS, zapytaj o 15-min rozmowę. Dołącz one-pager</t>
  </si>
  <si>
    <t>📬 KONTAKTY</t>
  </si>
  <si>
    <t>Cel: umówić spotkanie, nie sprzedawać przez email</t>
  </si>
  <si>
    <t>✅ AI: email outreach do Daniela (Belfort framework) → Pomoc AI → P-07</t>
  </si>
  <si>
    <t>0.16</t>
  </si>
  <si>
    <t>Skontaktuj się z Piotrem Gilarskim – case study</t>
  </si>
  <si>
    <t>Ustal: termin oklejenia, kto płaci za folię, zakres oklejenia, harmonogram filmików, prawa do materiałów</t>
  </si>
  <si>
    <t>To Twój pierwszy case study – priorytet absolutny</t>
  </si>
  <si>
    <t>✅ AI: skrypt rozmowy z Piotrem → Pomoc AI → P-07</t>
  </si>
  <si>
    <t>0.17</t>
  </si>
  <si>
    <t>Stwórz listę 30 lokalnych marek do outreach</t>
  </si>
  <si>
    <t>Kategorie: gastro(5), fitness(5), e-comm(5), deweloperzy(5), kliniki(5), inne(5). Narzędzie: Google Maps + LinkedIn</t>
  </si>
  <si>
    <t>18.05.2026</t>
  </si>
  <si>
    <t>Min: nazwa + osoba decyzyjna + email</t>
  </si>
  <si>
    <t>https://docs.google.com/spreadsheets/d/1KXAfn12bAb--8CIX_FvABRc4vxUQgotMMUDPA3YJj6A/</t>
  </si>
  <si>
    <t>✅ AI: lista firm + prompt do Apollo/LinkedIn → Pomoc AI → P-08</t>
  </si>
  <si>
    <t>0.18</t>
  </si>
  <si>
    <t>Mapa procesów onboardingu B2C i B2B</t>
  </si>
  <si>
    <t>Cały flow: co się dzieje krok po kroku, kiedy jaka umowa, jakie dokumenty, kto co robi</t>
  </si>
  <si>
    <t>Min: każdy krok udokumentowany</t>
  </si>
  <si>
    <t>✅ AI: flow diagram onboarding B2C i B2B → Pomoc AI → P-09</t>
  </si>
  <si>
    <t>0.20</t>
  </si>
  <si>
    <t>Analiza CPM i impressions GPS</t>
  </si>
  <si>
    <t>1. Jak mierzyć ile osób zobaczyło reklamę (AADT + GPS); 2. Porównanie CPM vs Facebook/Billboard. Szczegóły w zakładce 📱 GPS App &amp; Panel → Kalkulator Impressions</t>
  </si>
  <si>
    <t>Dane AADT bezpłatne: gddkia.gov.pl/pl/965</t>
  </si>
  <si>
    <t>✅ AI: algorytm kalkulacji impressions + CPM → GPS App zakładka G.08 + Pomoc AI → P-13</t>
  </si>
  <si>
    <t>📱 AdRide — GPS App &amp; Panel Reklamodawcy: Specyfikacja Techniczna &amp; Plan Wdrożenia</t>
  </si>
  <si>
    <t>Zakres: Aplikacja mobilna kierowcy (GPS tracking) | Panel reklamodawcy (mapa LIVE, raporty) | Kalkulator Impressions CPM | Integracja Stripe Connect</t>
  </si>
  <si>
    <t>🏗️ SEKCJA 1: ARCHITEKTURA SYSTEMU — Przegląd</t>
  </si>
  <si>
    <t xml:space="preserve">KOMPONENTY SYSTEMU:
[1] MOBILE APP (kierowca) — React Native + Expo
    • GPS tracking w tle (background location)  • Dashboard: km/zarobki/kampania  • Zdjęcia dowodowe (geotag)  • Pauza "tryb prywatny"
[2] WEB DASHBOARD (reklamodawca) — Next.js + Tailwind
    • Mapa LIVE tras GPS (Mapbox GL JS)  • Raporty: km, impressions, CPM  • Eksport PDF + CSV  • Historia kampanii
[3] ADMIN PANEL — Next.js
    • Zarządzanie kampaniami, kierowcami, fakturami  • Monitoring GPS  • Alerty (pojazd nieaktywny)
[4] BACKEND — Supabase (PostgreSQL + REST API + Auth + Storage)
    • Tabele: vehicles, drivers, campaigns, gps_tracks, advertisers, reports, photos
    • Real-time subscriptions dla mapy LIVE
[5] PŁATNOŚCI — Stripe Connect (Marketplace)
    • Reklamodawca płaci → AdRide potrąca prowizję → auto-wypłata kierowcy
</t>
  </si>
  <si>
    <t>📋 SEKCJA 2: ZADANIA TECHNICZNE — GPS App &amp; Panel (G.01–G.13)</t>
  </si>
  <si>
    <t>OPIS TECHNICZNY</t>
  </si>
  <si>
    <t>MODUŁ</t>
  </si>
  <si>
    <t>LINKI / ZASOBY</t>
  </si>
  <si>
    <t>G.01</t>
  </si>
  <si>
    <t>Wybór stacku + Setup projektu</t>
  </si>
  <si>
    <t>React Native + Expo CLI. Setup: expo init adride-driver, instalacja: expo-location, expo-camera, supabase-js. Konto Apple Developer (99$/rok). Konto Google Play Console (25$). Setup Supabase projekt</t>
  </si>
  <si>
    <t>📱 MOBILE</t>
  </si>
  <si>
    <t>05.07.2026</t>
  </si>
  <si>
    <t>expo.dev/docs | supabase.com/docs</t>
  </si>
  <si>
    <t>✅ AI może napisać: setup projektu Expo, package.json, konfiguracja Supabase. Prompt → P-10, P-12</t>
  </si>
  <si>
    <t>G.02</t>
  </si>
  <si>
    <t>Ekran login + auth kierowcy</t>
  </si>
  <si>
    <t>Supabase Auth: email+hasło lub magic link. Ekran: logo AdRide, pole email, hasło, przycisk Login. Token JWT przechowywany w SecureStore (Expo). Auto-refresh token</t>
  </si>
  <si>
    <t>07.07.2026</t>
  </si>
  <si>
    <t>supabase.com/docs/guides/auth</t>
  </si>
  <si>
    <t>✅ AI może napisać: pełny kod auth screen React Native + Supabase. Prompt → P-12</t>
  </si>
  <si>
    <t>G.03</t>
  </si>
  <si>
    <t>Dashboard kierowcy — główny ekran</t>
  </si>
  <si>
    <t>Widżety: (1) Km tego miesiąca, (2) Zarobki (PLN), (3) Status kampanii (aktywna/nieaktywna), (4) Przycisk PAUZA (tryb prywatny), (5) Lista ostatnich przejazdów. Pull-to-refresh z API</t>
  </si>
  <si>
    <t>10.07.2026</t>
  </si>
  <si>
    <t>react-native-maps | react-native-chart-kit</t>
  </si>
  <si>
    <t>✅ AI może napisać: kod dashboardu + komponenty React Native. Prompt → P-12, P-13</t>
  </si>
  <si>
    <t>G.04</t>
  </si>
  <si>
    <t>Moduł GPS tracking (core)</t>
  </si>
  <si>
    <t>expo-location: startBackgroundLocationUpdatesAsync co 30 sek. Dane: {lat, lon, timestamp, speed, driver_id, campaign_id}. Obliczanie dystansu: formuła Haversine. Upload do Supabase: batch co 5 min (oszczędność baterii). PAUZA: stopBackgroundLocationUpdatesAsync</t>
  </si>
  <si>
    <t>15.07.2026</t>
  </si>
  <si>
    <t>docs.expo.dev/versions/latest/sdk/location/</t>
  </si>
  <si>
    <t>✅ AI może napisać: PEŁNY kod modułu GPS React Native + Expo + Haversine + Supabase upload. To kluczowy moduł — proś AI o gotowy do uruchomienia kod. Prompt → P-10, P-12</t>
  </si>
  <si>
    <t>G.05</t>
  </si>
  <si>
    <t>Moduł zdjęć dowodowych (proof)</t>
  </si>
  <si>
    <t>expo-camera: kierowca robi zdjęcie auta z widoczną reklamą. Metadata: {photo_url, lat, lon, timestamp, driver_id, campaign_id}. Upload: Supabase Storage (bucket: "proofs"). Widok galerii zdjęć w dashboardzie</t>
  </si>
  <si>
    <t>20.07.2026</t>
  </si>
  <si>
    <t>docs.expo.dev/versions/latest/sdk/camera/</t>
  </si>
  <si>
    <t>✅ AI może napisać: moduł camera + upload Supabase Storage + galeria. Prompt → P-12</t>
  </si>
  <si>
    <t>G.06</t>
  </si>
  <si>
    <t>Ekran "Moje trasy" — historia GPS</t>
  </si>
  <si>
    <t>Mapa (react-native-maps lub Mapbox) z narysowanymi liniami tras z danego dnia/miesiąca. Filtr: data. Kolor trasy = kampania. Statystyki: km dzisiaj/tydzień/miesiąc</t>
  </si>
  <si>
    <t>25.07.2026</t>
  </si>
  <si>
    <t>github.com/react-native-maps/react-native-maps</t>
  </si>
  <si>
    <t>✅ AI może napisać: mapa tras z Supabase + Polyline. Prompt → P-12, P-13</t>
  </si>
  <si>
    <t>G.07</t>
  </si>
  <si>
    <t>App Store + Google Play publikacja</t>
  </si>
  <si>
    <t>TestFlight beta (iOS): 90 dni, do 10 000 testerów. Google Play beta: APK upload. Checklist Apple Review: Privacy Policy URL, GPS usage description, background mode entitlements. Screenshoty</t>
  </si>
  <si>
    <t>10.08.2026</t>
  </si>
  <si>
    <t>developer.apple.com/testflight/</t>
  </si>
  <si>
    <t>✅ AI może pomóc: checklist Apple Review, opis aplikacji, Privacy Policy → Pomoc AI → P-11</t>
  </si>
  <si>
    <t>G.08</t>
  </si>
  <si>
    <t>Kalkulator Impressions GPS (algorytm + UI)</t>
  </si>
  <si>
    <t>ALGORYTM: Impressions = km_dzienny × AADT_strefa × współczynnik_widoczności (0.15 dla aut). Dane AADT: GDDKiA API (bezpłatne) lub tabela statyczna dla Warszawy. UI: Next.js form: Dzielnica + Auta + Mies. → wynik: impressions/dzień + CPM. Lead magnet: po obliczeniu → prośba o email</t>
  </si>
  <si>
    <t>🖥️ PANEL</t>
  </si>
  <si>
    <t>01.08.2026</t>
  </si>
  <si>
    <t>gddkia.gov.pl/pl/965 | AADT Warszawa ZDM</t>
  </si>
  <si>
    <t>✅ AI może napisać: PEŁNY algorytm impressions + kod Python/JS + UI formularza. To jest Twój USP. Prompt → P-13</t>
  </si>
  <si>
    <t>G.09</t>
  </si>
  <si>
    <t>Mapa LIVE reklamodawcy (Mapbox)</t>
  </si>
  <si>
    <t>Next.js + Mapbox GL JS. Warstwy: (1) pozycje pojazdów (update co 5 min z Supabase real-time), (2) heat map gęstości tras, (3) poligony dzielnic. Filtr: zakres dat, pojazd. Supabase real-time subscription na tabelę gps_tracks</t>
  </si>
  <si>
    <t>mapbox.com/mapbox-gljs | supabase.com/docs/guides/realtime</t>
  </si>
  <si>
    <t>✅ AI może napisać: integracja Mapbox + Supabase real-time + heat map. Prompt → P-12, P-13</t>
  </si>
  <si>
    <t>G.10</t>
  </si>
  <si>
    <t>Automatyczny raport PDF miesięczny</t>
  </si>
  <si>
    <t>Puppeteer lub jsPDF: generuje PDF z: logo klienta, okres kampanii, km łącznie, mapa screenshot (Mapbox Static API), impressions, CPM, zdjęcia aut, tabela km/dzień. Auto-wysyłka 1-go każdego miesiąca (cron Supabase Edge Functions)</t>
  </si>
  <si>
    <t>05.08.2026</t>
  </si>
  <si>
    <t>pptr.io | mapbox.com/api-documentation/#static-images</t>
  </si>
  <si>
    <t>✅ AI może napisać: szablon PDF + kod Puppeteer + Supabase Edge Function cron. Prompt → P-05, P-12</t>
  </si>
  <si>
    <t>G.11</t>
  </si>
  <si>
    <t>Stripe Connect — setup marketplace</t>
  </si>
  <si>
    <t>Stripe Connect (Standard lub Express accounts). Flow: (1) Reklamodawca płaci → Stripe (charge), (2) AdRide fee zatrzymane automatycznie (application_fee_amount), (3) Reszta → transfer do kierowcy Stripe account. Webhook: payment_intent.succeeded → aktualizacja statusu kampanii w Supabase</t>
  </si>
  <si>
    <t>stripe.com/docs/connect/collect-then-transfer-guide</t>
  </si>
  <si>
    <t>✅ AI może napisać: pełny Stripe Connect setup + webhook handler. Prompt → P-12</t>
  </si>
  <si>
    <t>G.12</t>
  </si>
  <si>
    <t>Algorytm matching kierowca–kampania</t>
  </si>
  <si>
    <t>Dobór kierowcy do kampanii na podstawie: (1) dzielnica bazowa kierowcy, (2) typ auta (segment), (3) miesięczny przebieg, (4) historia płatności (rzetelność). Scoring funkcja: weighted_score = 0.4×dzielnica + 0.3×przebieg + 0.2×reliabilty + 0.1×typ. Implementacja: Python/SQL funkcja w Supabase</t>
  </si>
  <si>
    <t>⚙️ ALGORYTM</t>
  </si>
  <si>
    <t>01.09.2026</t>
  </si>
  <si>
    <t>✅ AI może napisać: scoring function + SQL query. Prompt → P-13</t>
  </si>
  <si>
    <t>G.13</t>
  </si>
  <si>
    <t>Test penetracyjny + security audit GPS API</t>
  </si>
  <si>
    <t>Testy: (1) autoryzacja endpointów API (czy można podejrzeć trasy innych), (2) szyfrowanie danych GPS w spoczynku (AES-256), (3) transmisja HTTPS only, (4) rate limiting API, (5) DPIA update po wdrożeniu</t>
  </si>
  <si>
    <t>⚙️ BEZP.</t>
  </si>
  <si>
    <t>owasp.org/www-project-mobile-security</t>
  </si>
  <si>
    <t>✅ AI może pomóc: checklist security GPS API + pytania dla audytora → Pomoc AI → P-11</t>
  </si>
  <si>
    <t>🔧 SEKCJA 3: TECH STACK — Zalecany dla AdRide MVP</t>
  </si>
  <si>
    <t xml:space="preserve">MOBILE APP:          React Native + Expo (cross-platform iOS + Android)
GPS TRACKING:        expo-location (background) | Haversine distance formula  
MAPY MOBILE:         react-native-maps (OpenStreetMap free) lub Mapbox React Native SDK
AUTH:                Supabase Auth (JWT, magic link, OAuth)
BACKEND/DB:          Supabase (PostgreSQL + REST API + Real-time + Storage + Edge Functions)
WEB PANEL:           Next.js 14 (App Router) + Tailwind CSS + shadcn/ui
MAPY WEB:            Mapbox GL JS (free tier: 50k req/mies.) | Mapbox Static API (raporty)
PDF RAPORTY:         Puppeteer (server-side) lub jsPDF (client-side)
PŁATNOŚCI:           Stripe Connect (marketplace model z automatic payouts)
EMAIL:               Resend.com (darmowy do 3000 emaili/mies.)
HOSTING:             Vercel (Next.js, darmowy) + Supabase (darmowy start)
MONITORING:          Sentry (błędy) + Supabase Logs
KOSZT MIESIĘCZNY MVP (do 50 aut):
  Supabase Pro: ~25 USD/mies. | Mapbox: 0 zł (free tier) | Vercel: 0 zł
  Apple Developer: 99 USD/rok | Stripe: 0.25% + $0.25/payout
  ŁĄCZNIE: ~120–200 zł/mies. (do 50 aut)
</t>
  </si>
  <si>
    <t>📊 SEKCJA 4: ALGORYTM IMPRESSIONS + CPM — Metodologia</t>
  </si>
  <si>
    <t xml:space="preserve">WZÓR IMPRESSIONS DZIENNYCH:
   Impressions_dzienny = km_dzienny × AADT_strefa × współczynnik_widoczności × czas_ekspozycji
PARAMETRY:
   km_dzienny          = dane GPS z aplikacji (rzeczywiste)
   AADT_strefa         = średni ruch dobowy dla danej strefy/dzielnicy (dane GDDKiA + ZDM Warszawa)
                         Centrum Warszawy: ~28 000 pojazdów/dobę na głównych arteriach
                         Dzielnice: ~8 000–15 000 pojazdów/dobę
   współczynnik        = 0.05–0.20 (procent kierowców/pieszych którzy faktycznie zauważają reklamę)
                         Benchmark Wrapify USA: ~0.10 (10%) dla miejskiego ruchu
   czas_ekspozycji     = średni czas obserwacji auta (0.5–3 sek przy prędkości miejskiej)
WZÓR CPM:
   CPM = (koszt_kampanii_miesięczny / impressions_miesięczne) × 1000
PRZYKŁAD KALKULACJI (1 pojazd, Mokotów, 40 km/dzień):
   AADT Mokotów:        12 000 pojazdów/dobę (dane ZDM)
   Impressions/km:      12 000 × 0.10 = 1 200 impressions/km
   Impressions/dzień:   1 200 × 40 km = 48 000 impressions
   Impressions/miesiąc: 48 000 × 22 = 1 056 000 impressions
   Koszt kampanii:      1 997 zł/mies. (oklejenie 497 + prowizja 997 + demontaż/12=50 + inne)
   CPM:                 (1997 / 1 056 000) × 1000 = ~1.89 PLN/1000 impressions
BENCHMARKI RYNKOWE (porównanie):
   Vehicle wraps USA:   $0.35–$0.77 CPM (pełne oklejenie, OAAA data)
   Wrapify avg USA:     $1.78 CPM (2024, 29 rynków)
   Billboard Polska:    12–45 zł CPM
   Facebook Ads PL:     8–25 zł CPM
   → AdRide ~1.89 PLN CPM = najtańsze medium w Polsce
DANE AADT BEZPŁATNE:
   GDDKiA: gddkia.gov.pl/pl/965 (drogi krajowe + ekspresowe)
   ZDM Warszawa: zdm.waw.pl/dane (ulice miejskie Warszawa, xlsx do pobrania)
   OpenStreetMap + Overpass API (szacunki na bazie kategorii dróg)
</t>
  </si>
  <si>
    <t>🚗 AdRide.pl — FAZA 1: Prawna &amp; Partnerstwa (14–28.05.2026)</t>
  </si>
  <si>
    <t>📅 14–28.05.2026 | Owner: Founder + Justyna</t>
  </si>
  <si>
    <t>🎯 KPI GATE: ✅ Umowa z Włodkiem | ✅ Wzory umów (kierowca + reklamodawca) | ✅ Regulamin + PP opublikowane | ✅ CRM 30 firm | ✅ Cennik foliowania</t>
  </si>
  <si>
    <t xml:space="preserve">  ▶  ⚖️ ASPEKTY PRAWNE</t>
  </si>
  <si>
    <t>1.01</t>
  </si>
  <si>
    <t>Zlecenie weryfikacji prawnej modelowi AdRide</t>
  </si>
  <si>
    <t>Zakres: (1) ograniczenia prawne reklamy na aucie, (2) forma umowy z kierowcą, (3) GPS/RODO, (4) podatki kierowcy. Budżet: 1000–2000 zł</t>
  </si>
  <si>
    <t>⚖️ PRAWNA</t>
  </si>
  <si>
    <t>16.05.2026</t>
  </si>
  <si>
    <t>Kancelarie: BWHS, Osborne Clarke</t>
  </si>
  <si>
    <t>✅ AI: pytania do prawnika, zakres weryfikacji → Pomoc AI → P-11</t>
  </si>
  <si>
    <t>1.02</t>
  </si>
  <si>
    <t>Przygotuj wzór umowy z kierowcą</t>
  </si>
  <si>
    <t>Elementy: strony, opis usługi, wynagrodzenie brutto, min. przebieg (800 km), zakaz zdejmowania folii, kara umowna, zgoda GPS/RODO</t>
  </si>
  <si>
    <t>Prawnik + Founder</t>
  </si>
  <si>
    <t>Wzór do weryfikacji przez prawnika</t>
  </si>
  <si>
    <t>✅ AI: szkic umowy z kierowcą → Pomoc AI → P-11</t>
  </si>
  <si>
    <t>1.03</t>
  </si>
  <si>
    <t>Przygotuj wzór umowy z reklamodawcą</t>
  </si>
  <si>
    <t>Elementy: zakres kampanii (auta/czas/obszar), cena (oklejenie + prowizja AdRide), raportowanie GPS, prawo do treści reklamy, zasady rozwiązania</t>
  </si>
  <si>
    <t>Kluczowy zapis: odpowiedzialność za treść = reklamodawca</t>
  </si>
  <si>
    <t>✅ AI: szkic umowy z reklamodawcą → Pomoc AI → P-11</t>
  </si>
  <si>
    <t>1.04</t>
  </si>
  <si>
    <t>Weryfikacja ubezpieczeniowa: OC/AC aut oklejonych + czy my możemy ubezpieczyć samą folie z reklamą na samochodach naszych kierowców?</t>
  </si>
  <si>
    <t>Sprawdź z brokerem: czy oklejenie komercyjne wpływa na OC/AC? Klauzula dodatkowa? Zmiana taryfy? → odpowiedź pisemna</t>
  </si>
  <si>
    <t>Jeśli klauzula wymagana – wbuduj do umowy z kierowcą</t>
  </si>
  <si>
    <t>✅ AI: pytania do ubezpieczyciela, lista ryzyk → Pomoc AI</t>
  </si>
  <si>
    <t>1.05</t>
  </si>
  <si>
    <t>Weryfikacja podatkowa: PIT kierowcy od wynagrodzenia</t>
  </si>
  <si>
    <t>Sprawdź z księgową: ZUS?, jaki PIT?, FV nierejestrowanej DG, PIT-11 obowiązki AdRide</t>
  </si>
  <si>
    <t>Founder + księgowa</t>
  </si>
  <si>
    <t>Nowe przepisy 2026 dot. rozliczania aut prywatnych</t>
  </si>
  <si>
    <t>✅ AI: checklist podatkowy dla umów z kierowcami → Pomoc AI → P-11</t>
  </si>
  <si>
    <t>1.06</t>
  </si>
  <si>
    <t>Przygotuj Regulamin Platformy adride.pl v1.0</t>
  </si>
  <si>
    <t>Definicje, prawa stron, model finansowy, odpowiedzialność Operatora, kary umowne, prawo PL, sąd Warszawa</t>
  </si>
  <si>
    <t>Justyna + AI</t>
  </si>
  <si>
    <t>22.05.2026</t>
  </si>
  <si>
    <t>Prompt gotowy – wklej do Claude lub GPT-4o</t>
  </si>
  <si>
    <t>✅ AI: szkic regulaminu platformy → Pomoc AI → P-11</t>
  </si>
  <si>
    <t>1.07</t>
  </si>
  <si>
    <t>Przygotuj Politykę Prywatności (RODO) adride.pl v1.0</t>
  </si>
  <si>
    <t>Zakres: administrator, dane kierowców (PESEL, GPS), reklamodawców, podstawy prawne (art.6 RODO), GPS tracking, prawa użytkowników, podmioty trzecie (Stripe, foliarz)</t>
  </si>
  <si>
    <t>GPS tracking → wyraźna zgoda + możliwość rezygnacji</t>
  </si>
  <si>
    <t>✅ AI: polityka prywatności + DPIA → Pomoc AI → P-11</t>
  </si>
  <si>
    <t>1.08</t>
  </si>
  <si>
    <t>Weryfikacja prawna Regulaminu i PP przez prawnika</t>
  </si>
  <si>
    <t>Prześlij oba dokumenty do Agnieszki Wieteska + Ola (sfundr). Koszt: 500–1000 zł</t>
  </si>
  <si>
    <t>Founder + Prawnik</t>
  </si>
  <si>
    <t>26.05.2026</t>
  </si>
  <si>
    <t>NIE publikuj bez weryfikacji prawnika</t>
  </si>
  <si>
    <t xml:space="preserve">  ▶  🤝 PARTNERSTWO WŁODEK / Robert (FOLIOWANIE)</t>
  </si>
  <si>
    <t>1.09</t>
  </si>
  <si>
    <t>Umów spotkanie z Włodkiem (autodetailing)</t>
  </si>
  <si>
    <t>Agenda: (1) model AdRide, (2) stawki (pełne/częściowe/demontaż), (3) harmonogram realizacji, (4) możliwość kredytu kupieckiego</t>
  </si>
  <si>
    <t>🤝 FOLIOWANIE</t>
  </si>
  <si>
    <t>Przygotuj deck + kalkulację: ile zleceń rocznie przy 100 autach</t>
  </si>
  <si>
    <t>✅ AI: przygotowanie do rozmowy z Włodkiem → Pomoc AI → P-07</t>
  </si>
  <si>
    <t>1.10</t>
  </si>
  <si>
    <t>Ustal cennik usług foliowania</t>
  </si>
  <si>
    <t>Wycena: oklejenie pełne/częściowe/tył+szyby, demontaż, naprawy folii. Standardy: min. 3M lub równoważna</t>
  </si>
  <si>
    <t>Founder + Włodek</t>
  </si>
  <si>
    <t>Zapisz jako oficjalny cennik – wejdzie do umowy</t>
  </si>
  <si>
    <t>1.11</t>
  </si>
  <si>
    <t>Podpisz umowę ramową z Włodkiem / Robertem</t>
  </si>
  <si>
    <t>Elementy: Włodek=preferencyjny wykonawca, cennik, czas realizacji, standard jakości, procedura reklamacji, poufność</t>
  </si>
  <si>
    <t>23.05.2026</t>
  </si>
  <si>
    <t>Opcja: zacznij od MOU (Letter of Intent)</t>
  </si>
  <si>
    <t>✅ AI: szkic umowy ramowej z Włodkiem → Pomoc AI → P-11</t>
  </si>
  <si>
    <t>1.12</t>
  </si>
  <si>
    <t>Zidentyfikuj 2 rezerwowych wykonawców foliowania</t>
  </si>
  <si>
    <t>Google: "oklejanie samochodów Warszawa profesjonalne" + grupy FB. Lista: Firma|Kontakt|Cena|Dostępność</t>
  </si>
  <si>
    <t>Backup przy skoku zapotrzebowania</t>
  </si>
  <si>
    <t>https://docs.google.com/document/d/1UAJRbej2Ms67dm3ijqyQk9YhARut_0VXRUGuPiO-ZKc/</t>
  </si>
  <si>
    <t>1.13</t>
  </si>
  <si>
    <t>Ustal procedurę zlecania oklejenia (workflow)</t>
  </si>
  <si>
    <t>Krok po kroku: matchowanie → kontakt z Włodkiem → termin → oklejenie → zdjęcia → faktura → start kampanii</t>
  </si>
  <si>
    <t>Founder + Justyna + Włodek</t>
  </si>
  <si>
    <t>Ten workflow wejdzie do Regulaminu i umów</t>
  </si>
  <si>
    <t>✅ AI: diagram procesu operacyjnego → Pomoc AI → P-09</t>
  </si>
  <si>
    <t xml:space="preserve">  ▶  📋 SPRZEDAŻ B2B – PRZYGOTOWANIE</t>
  </si>
  <si>
    <t>1.14</t>
  </si>
  <si>
    <t>Zbuduj pipeline CRM B2B w Google Sheets</t>
  </si>
  <si>
    <t>Kolumny: ID|Firma|Branża|Kontakt|Email|Tel|LinkedIn|Status|Data|Notatki|Następny krok. Min. 30 firm</t>
  </si>
  <si>
    <t>📋 SPRZEDAŻ</t>
  </si>
  <si>
    <t>19.05.2026</t>
  </si>
  <si>
    <t>Faza 2+: Pipedrive (14 dni trial). MVP: Google Sheets</t>
  </si>
  <si>
    <t>✅ AI: szablon CRM + struktura pipeline → Pomoc AI → P-08</t>
  </si>
  <si>
    <t>1.15</t>
  </si>
  <si>
    <t>Przygotuj email template cold outreach</t>
  </si>
  <si>
    <t>Temat: "Twoje logo na 10 autach w Warszawie". Treść: hook → 3 zdania → cena → CTA (15-min rozmowa). Max 150 słów</t>
  </si>
  <si>
    <t>Przygotuj 2 wersje A/B test – różny hook</t>
  </si>
  <si>
    <t>✅ AI: cold email (Belfort framework, Hormozi offer) → Pomoc AI → P-07</t>
  </si>
  <si>
    <t>1.16</t>
  </si>
  <si>
    <t>Przygotuj pakiety ofertowe dla reklamodawców</t>
  </si>
  <si>
    <t>START: 997/mies., 1 pojazd | SCALE: 2497/mies., 3–5 pojazdów. Dla każdego: cena, gwarancja km, panel GPS, raport PDF</t>
  </si>
  <si>
    <t>Pakiety = nie negocjujesz od zera każdej rozmowy</t>
  </si>
  <si>
    <t>✅ AI: Grand Slam Offer (Hormozi) dla AdRide → Pomoc AI → P-04</t>
  </si>
  <si>
    <t>1.17</t>
  </si>
  <si>
    <t>Skonfiguruj Apollo.io do prospectingu B2B</t>
  </si>
  <si>
    <t>Apollo.io free: 50 eksportów/mies. Szukaj: gastro/fitness/e-comm/RE + Warszawa + Marketing Manager/Właściciel/CEO</t>
  </si>
  <si>
    <t>Alternatywa: LinkedIn Sales Navigator (30 dni trial)</t>
  </si>
  <si>
    <t>✅ AI: prompt do Apollo.io, kryteria filtrów → Pomoc AI → P-08</t>
  </si>
  <si>
    <t>🚗 AdRide.pl — FAZA 2: Akwizycja Kierowców &amp; Leady B2B (28.05–25.06.2026)</t>
  </si>
  <si>
    <t>📅 28.05–25.06.2026 | Owner: Justyna (kierowcy) + Founder (B2B)</t>
  </si>
  <si>
    <t>🎯 KPI GATE: ✅ 50 kierowców waitinglist | ✅ 1 umowa pilotażowa podpisana | ✅ Case study Piotr Gilarski gotowy | ✅ 30 firm w CRM skontaktowanych</t>
  </si>
  <si>
    <t xml:space="preserve">  ▶  🚗 AKWIZYCJA KIEROWCÓW (WAITINGLIST)</t>
  </si>
  <si>
    <t>2.01</t>
  </si>
  <si>
    <t>Stwórz formularz rejestracji kierowców (Google Form)</t>
  </si>
  <si>
    <t>Pola: Imię, Email, Tel, Miasto, Marka/model auta, Rocznik, Przebieg/mies., Uber/Bolt (tak/nie), Zgoda RODO. Auto-email przez Zapier</t>
  </si>
  <si>
    <t>🚗 KIEROWCY</t>
  </si>
  <si>
    <t>29.05.2026</t>
  </si>
  <si>
    <t>Zapier free: Form → Sheets → Gmail. 30 min konfiguracji</t>
  </si>
  <si>
    <t>✅ AI: treść emaila powitalnego dla kierowcy → Pomoc AI → P-06</t>
  </si>
  <si>
    <t>2.02</t>
  </si>
  <si>
    <t>Dodaj link do formularza na stronie</t>
  </si>
  <si>
    <t>Sekcja: "Zarabiaj na swoim aucie". CTA: "Dołącz do listy – bezpłatnie". Counter społeczny: "Już X kierowców czeka"</t>
  </si>
  <si>
    <t>Counter social proof możesz aktualizować ręcznie co tydzień</t>
  </si>
  <si>
    <t>2.03</t>
  </si>
  <si>
    <t>Uruchom kampanię FB/Instagram Ads – kierowcy</t>
  </si>
  <si>
    <t>Budżet: 1000–2000 zł. Target: Warszawa+30km, 22–45l, zainteresowania: Bolt/Uber/motoryzacja. Kreacja: zdjęcie oklejonego auta + "Zarabiaj 1500 zł/mies."</t>
  </si>
  <si>
    <t>01.06.2026</t>
  </si>
  <si>
    <t>A/B test: 2 kreacje + 2 copy. Optymalizuj po 3 dniach</t>
  </si>
  <si>
    <t>✅ AI: kreacja reklamowa + copy FB Ads → Pomoc AI → P-06</t>
  </si>
  <si>
    <t>2.04</t>
  </si>
  <si>
    <t>Opublikuj posty w 10 grupach FB motoryzacyjnych</t>
  </si>
  <si>
    <t>Grupy: Bolt Warszawa, Uber PL, Oszczędzanie i zarabianie, Motoryzacja Warszawa itp. 1 post = 1 grupa. Nie spamuj</t>
  </si>
  <si>
    <t>Modyfikuj każdy post lekko – nie copy-paste</t>
  </si>
  <si>
    <t>✅ AI: szablony postów dla grup FB → Pomoc AI → P-06</t>
  </si>
  <si>
    <t>2.05</t>
  </si>
  <si>
    <t>Content na Instagram i TikTok – seria "Zarabiaj na aucie"</t>
  </si>
  <si>
    <t>Serie 3 filmów: (1) ile można zarobić?, (2) jak działa AdRide?, (3) case study Piotr. Format 30–60 sek. Smartfon = OK</t>
  </si>
  <si>
    <t>Justyna + Piotr</t>
  </si>
  <si>
    <t>10.06.2026</t>
  </si>
  <si>
    <t>Piotr Gilarski = naturalny bohater serii</t>
  </si>
  <si>
    <t>✅ AI: scenariusze filmów TikTok + hook pierwszych 3 sek → Pomoc AI → P-06</t>
  </si>
  <si>
    <t>2.06</t>
  </si>
  <si>
    <t>Outreach w grupach Bolt/Uber na Telegramie</t>
  </si>
  <si>
    <t>Znajdź grupy "Bolt Drivers Warsaw", "Uber PL". Krótka wiadomość: kim jesteś, co oferujesz, link. Buduj relacje, nie sprzedawaj od razu</t>
  </si>
  <si>
    <t>05.06.2026</t>
  </si>
  <si>
    <t>Cel: 10–15 kierowców Bolt/Uber (duże przebiegi = lepsza ekspozycja)</t>
  </si>
  <si>
    <t>2.07</t>
  </si>
  <si>
    <t>Osiągnij cel: 50 kierowców na waitinglist</t>
  </si>
  <si>
    <t>Tydzień 1: 0→15, Tydzień 2: 15→35, Tydzień 3: 35→50. Tracking: źródło, data, dane. Bez 50 kierowców = nie idź na spotkanie B2B</t>
  </si>
  <si>
    <t>20.06.2026</t>
  </si>
  <si>
    <t>BEZ 50 KIEROWCÓW = nie podpisuj umowy z reklamodawcą</t>
  </si>
  <si>
    <t xml:space="preserve">  ▶  📞 SPRZEDAŻ B2B – OUTREACH</t>
  </si>
  <si>
    <t>2.08</t>
  </si>
  <si>
    <t>Wyślij cold email do 15 firm (batch 1)</t>
  </si>
  <si>
    <t>Pierwsze 15 firm. Czekaj 3 dni. Follow-up do nieodpowiadających. Open rate &gt;30% = dobra lista</t>
  </si>
  <si>
    <t>📞 B2B</t>
  </si>
  <si>
    <t>03.06.2026</t>
  </si>
  <si>
    <t>Instantly.ai (trial) lub Mailchimp. Personalizuj: [imię], [firma]</t>
  </si>
  <si>
    <t>✅ AI: cold email A/B + follow-up → Pomoc AI → P-07</t>
  </si>
  <si>
    <t>2.09</t>
  </si>
  <si>
    <t>Wyślij cold email do kolejnych 15 firm (batch 2)</t>
  </si>
  <si>
    <t>Użyj wniosków z batch 1: lepszy open rate? Zoptymalizuj copy. Łącznie: 30 firm skontaktowanych</t>
  </si>
  <si>
    <t>Jeśli &lt;10% odpowiedzi – zmień hook. Testuj 2 wersje tematu</t>
  </si>
  <si>
    <t>✅ AI: optymalizacja emaili na podstawie wyników → Pomoc AI → P-07</t>
  </si>
  <si>
    <t>2.10</t>
  </si>
  <si>
    <t>Umów 3–5 spotkań/rozmów demo</t>
  </si>
  <si>
    <t>Po emailu: odpowiedź → od razu proponuj datę. Calendly (darmowy). Spotkanie: 20 min, deck, propozycja pilotażu</t>
  </si>
  <si>
    <t>15.06.2026</t>
  </si>
  <si>
    <t>Ustaw Calendly – brak emailowego ping-ponga</t>
  </si>
  <si>
    <t>✅ AI: skrypt rozmowy demo (Straight Line Belfort) → Pomoc AI → P-07</t>
  </si>
  <si>
    <t>2.11</t>
  </si>
  <si>
    <t>Podpisz 1 umowę pilotażową z reklamodawcą</t>
  </si>
  <si>
    <t>Warunki: 3–5 aut, 3 mies., reklamodawca płaci za oklejenie + prowizję AdRide. Wzór umowy z Fazy 1</t>
  </si>
  <si>
    <t>MILESTONE – pierwsza podpisana umowa komercyjna</t>
  </si>
  <si>
    <t>✅ AI: skrypt zamknięcia + obsługa obiekcji → Pomoc AI → P-07</t>
  </si>
  <si>
    <t>2.12</t>
  </si>
  <si>
    <t>Follow-up z Sebastianem</t>
  </si>
  <si>
    <t>Jeśli nie odpowiedział na one-pager: zadzwoń (nie emailuj). Propozycja: reklamodawca lub ambasador (polecenia za prowizję)</t>
  </si>
  <si>
    <t>06.06.2026</t>
  </si>
  <si>
    <t>Sebastian może być łącznikiem do jego sieci kontaktów</t>
  </si>
  <si>
    <t>✅ AI: skrypt rozmowy follow-up → Pomoc AI → P-07</t>
  </si>
  <si>
    <t>2.13</t>
  </si>
  <si>
    <t>Wyślij propozycję pilotażu do 5 wybranych firm</t>
  </si>
  <si>
    <t>Po rozmowach demo: spersonalizowana propozycja PDF (deck + cennik). Follow-up po 3 dniach telefonem</t>
  </si>
  <si>
    <t>Propozycja: max 2 strony. Kwota + co dostaną + jak mierzymy</t>
  </si>
  <si>
    <t>✅ AI: szablon propozycji handlowej PDF → Pomoc AI → P-04</t>
  </si>
  <si>
    <t xml:space="preserve">  ▶  📸 CASE STUDY PIOTR GILARSKI</t>
  </si>
  <si>
    <t>2.14</t>
  </si>
  <si>
    <t>Harmonogram oklejenia auta Piotra</t>
  </si>
  <si>
    <t>Koordynacja: Piotr jedzie do Włodka, termin, projekt reklamy na auto. Zdjęcia PRZED i PO</t>
  </si>
  <si>
    <t>📸 CASE STUDY</t>
  </si>
  <si>
    <t>Founder + Włodek + Piotr</t>
  </si>
  <si>
    <t>Pierwsze fizyczne oklejenie – traktuj jak event</t>
  </si>
  <si>
    <t>2.15</t>
  </si>
  <si>
    <t>Nagraj 3 filmiki z Piotrem Gilarskim</t>
  </si>
  <si>
    <t>Film 1: "Dlaczego?", Film 2: behind-the-scenes oklejania, Film 3: "Jak to jest?" po oklejeniu. Smartfon + statyw</t>
  </si>
  <si>
    <t>Wideo = najsilniejszy content dla AdRide</t>
  </si>
  <si>
    <t>✅ AI: scenariusze 3 filmów + skrypt wywiadu → Pomoc AI → P-06</t>
  </si>
  <si>
    <t>2.16</t>
  </si>
  <si>
    <t>Stwórz case study PDF + landing page</t>
  </si>
  <si>
    <t>PDF: profil Piotra, zdjęcia, ile zarobił, cytat. Landing /case-study na adride.pl</t>
  </si>
  <si>
    <t>Canva do PDF, Framer/Webflow do landing page</t>
  </si>
  <si>
    <t>✅ AI: treść case study + struktura landing page → Pomoc AI → P-05</t>
  </si>
  <si>
    <t>2.17</t>
  </si>
  <si>
    <t>Opublikuj case study na LinkedIn i social media</t>
  </si>
  <si>
    <t>LinkedIn: zdjęcie Piotra + historia + link. TikTok: film 2 i 3. Reels: krótki fragment. Cel: social proof dla reklamodawców</t>
  </si>
  <si>
    <t>28.06.2026</t>
  </si>
  <si>
    <t>Tagi: #reklamamobilna #AdRide #zarabiajnaauto</t>
  </si>
  <si>
    <t>✅ AI: post LinkedIn + caption → Pomoc AI → P-06</t>
  </si>
  <si>
    <t>🚗 AdRide.pl — FAZA 3: Pilotaż 5–10 Aut (25.06–31.07.2026)</t>
  </si>
  <si>
    <t>📅 25.06–31.07.2026 | Owner: Founder + Justyna + Włodek</t>
  </si>
  <si>
    <t>🎯 KPI GATE: ✅ 5–10 aut aktywnie oklejonych | ✅ Case study pilotażu gotowy | ✅ Zdjęcia + raport GPS na stronie | ✅ Pierwsza faktura opłacona | ✅ GPS dane zbierane</t>
  </si>
  <si>
    <t xml:space="preserve">  ▶  🚙 PILOTAŻ – AKTYWACJA PIERWSZYCH AUT</t>
  </si>
  <si>
    <t>3.01</t>
  </si>
  <si>
    <t>Selekcja i kwalifikacja pierwszych 5–10 kierowców</t>
  </si>
  <si>
    <t>Kryteria: auto &lt;8 lat, przebieg &gt;1000 km/mies., brak uszkodzeń karoserii, dostępność na oklejenie</t>
  </si>
  <si>
    <t>🚙 PILOTAŻ</t>
  </si>
  <si>
    <t>Zaproś z waitinglisty – telefon + email konfirmacyjny</t>
  </si>
  <si>
    <t>✅ AI: kryteria oceny kierowców + skrypt kwalifikacji → Pomoc AI → P-09</t>
  </si>
  <si>
    <t>3.02</t>
  </si>
  <si>
    <t>Koordynacja oklejenia 5–10 aut</t>
  </si>
  <si>
    <t>Ustal terminy z Włodkiem. Każde auto: projekt reklamy (reklamodawca akceptuje), foliowanie, zdjęcia przed/po, GPS aktywacja</t>
  </si>
  <si>
    <t>Harmonogram: max 2 auta/tydzień przy 1 foliowni</t>
  </si>
  <si>
    <t>3.03</t>
  </si>
  <si>
    <t>Podpisz umowy z 5–10 pierwszymi kierowcami</t>
  </si>
  <si>
    <t>Użyj wzoru z Fazy 1. Każda umowa: wynagrodzenie, przebieg min., zgoda GPS, zakaz zdejmowania folii</t>
  </si>
  <si>
    <t>Dokumenty archiwizuj w Google Drive</t>
  </si>
  <si>
    <t>✅ AI: checklist podpisywania umów → Pomoc AI → P-11</t>
  </si>
  <si>
    <t>3.04</t>
  </si>
  <si>
    <t>Aktywacja GPS na wszystkich aktywnych pojazdach</t>
  </si>
  <si>
    <t>Zgodnie ze specyfikacją z zakładki GPS App &amp; Panel (zadania G.01–G.04). Wersja MVP lub tracking manualny</t>
  </si>
  <si>
    <t>SZCZEGÓŁY: zakładka GPS App &amp; Panel → G.01–G.11</t>
  </si>
  <si>
    <t>✅ AI: instrukcja aktywacji GPS MVP + skrypt → Pomoc AI → P-10, P-12</t>
  </si>
  <si>
    <t>3.05</t>
  </si>
  <si>
    <t>Pierwsze zdjęcia / fotodokumentacja aut</t>
  </si>
  <si>
    <t>Zdjęcia: (1) przed oklejeniem, (2) po oklejeniu (przód/tył/boki), (3) auto w ruchu. Wgraj do Google Drive / Notion</t>
  </si>
  <si>
    <t>Zdjęcia = materiał do case study i decku</t>
  </si>
  <si>
    <t>✅ AI: brief fotograficzny + kompozycja zdjęć → Pomoc AI</t>
  </si>
  <si>
    <t xml:space="preserve">  ▶  📊 RAPORTOWANIE I CASE STUDY</t>
  </si>
  <si>
    <t>3.06</t>
  </si>
  <si>
    <t>Przygotuj raport miesięczny dla reklamodawcy v1</t>
  </si>
  <si>
    <t>Template: km przejechane, mapa tras (screenshot GPS), obszary geograficzne, zdjęcia w terenie, szacowane impressions. Format PDF</t>
  </si>
  <si>
    <t>📊 RAPORT</t>
  </si>
  <si>
    <t>Pierwszy raport = fundament zaufania reklamodawcy</t>
  </si>
  <si>
    <t>✅ AI: szablon raportu GPS (Hormozi proof) → Pomoc AI → P-05</t>
  </si>
  <si>
    <t>3.07</t>
  </si>
  <si>
    <t>Stwórz case study pilotażu (pełny)</t>
  </si>
  <si>
    <t>Zbierz: dane GPS, zdjęcia, wynagrodzenia kierowców, opinia reklamodawcy. Stwórz PDF i wpis na stronę</t>
  </si>
  <si>
    <t>Ten case study to Twój główny argument sprzedażowy</t>
  </si>
  <si>
    <t>✅ AI: struktura case study + treść → Pomoc AI → P-05</t>
  </si>
  <si>
    <t>3.08</t>
  </si>
  <si>
    <t>Analiza wyników pilotażu: wnioski i optymalizacja</t>
  </si>
  <si>
    <t>Co działa, co nie działa: kierowcy (przebiegi), reklamodawca (satysfakcja), GPS (jakość danych), czas reakcji oklejenia</t>
  </si>
  <si>
    <t>Wnioski = input do Fazy 4 (Platforma MVP)</t>
  </si>
  <si>
    <t>✅ AI: analiza SWOT pilotażu + lista usprawnień → Pomoc AI → P-01</t>
  </si>
  <si>
    <t>3.09</t>
  </si>
  <si>
    <t>Wyślij pierwszą fakturę reklamodawcy</t>
  </si>
  <si>
    <t>Faktura za: oklejenie + pierwsza rata kampanii. Upewnij się że płatność przeszła PRZED startem następnego okresu</t>
  </si>
  <si>
    <t>Founder / księgowa</t>
  </si>
  <si>
    <t>MILESTONE: pierwsza faktura opłacona = projekt działa komercyjnie</t>
  </si>
  <si>
    <t xml:space="preserve">  ▶  🎯 CONTENT &amp; SPRZEDAŻ B2B (FAZA 3)</t>
  </si>
  <si>
    <t>3.10</t>
  </si>
  <si>
    <t>Gary Vee content week — dokumentuj pilotaż</t>
  </si>
  <si>
    <t>TikTok: "tydzień z pierwszym kierowcą AdRide", LinkedIn: post z wynikami, Instagram: before/after aut. DOCUMENT, nie twórz</t>
  </si>
  <si>
    <t>🎯 CONTENT</t>
  </si>
  <si>
    <t>Jeden dzień w terenie = content na 2 tygodnie</t>
  </si>
  <si>
    <t>✅ AI: scenariusze filmów dokumentacyjnych + posty → Pomoc AI → P-06</t>
  </si>
  <si>
    <t>3.11</t>
  </si>
  <si>
    <t>Zamknij 2–3 kolejne umowy B2B</t>
  </si>
  <si>
    <t>Na podstawie case study pilotażu. Skrypt Belforta + oferta Hormoziego. Cel: 5 reklamodawców łącznie</t>
  </si>
  <si>
    <t>🎯 SPRZEDAŻ</t>
  </si>
  <si>
    <t>5 reklamodawców = próg wyjścia na break-even przy 20 autach</t>
  </si>
  <si>
    <t>✅ AI: skrypt sprzedażowy z case study → Pomoc AI → P-07</t>
  </si>
  <si>
    <t>3.12</t>
  </si>
  <si>
    <t>Przygotuj się do budowy Platformy MVP (Faza 4)</t>
  </si>
  <si>
    <t>Zbierz wymagania: co ma robić panel kierowcy, panel reklamodawcy, tracking GPS. Wybierz stack technologiczny</t>
  </si>
  <si>
    <t>🎯 TECH</t>
  </si>
  <si>
    <t>✅ AI: tech spec + wireframes paneli → Pomoc AI → P-12, P-13</t>
  </si>
  <si>
    <t>🚗 AdRide.pl — FAZA 4: Platforma MVP (GPS App + Panele) (01.07–15.08.2026)</t>
  </si>
  <si>
    <t>📅 01.07–15.08.2026 | Owner: Founder + Dev</t>
  </si>
  <si>
    <t>🎯 KPI GATE: ✅ Aplikacja GPS działająca na iOS + Android | ✅ Panel kierowcy online | ✅ Panel reklamodawcy z mapą LIVE | ✅ Stripe Connect działa | ✅ GPS zbiera i wyświetla dane | ✅ Panel admin | KPI: 3 moduły live</t>
  </si>
  <si>
    <t xml:space="preserve">  ▶  📱 APLIKACJA GPS DLA KIEROWCÓW (MOBILE APP)</t>
  </si>
  <si>
    <t>4.01</t>
  </si>
  <si>
    <t>Wybór stacku tech – Mobile App GPS</t>
  </si>
  <si>
    <t>Opcja MVP fast: React Native + Expo + expo-location (background GPS). Alternatywa: Flutter. Oba mają GPS w tle i są cross-platform. Koszt: 0 zł devtools, hosting ~50 zł/mies.</t>
  </si>
  <si>
    <t>📱 GPS APP</t>
  </si>
  <si>
    <t>Founder + Dev</t>
  </si>
  <si>
    <t>React Native + Expo to najszybszy czas do działającego MVP. SZCZEGÓŁY → zakładka GPS App &amp; Panel</t>
  </si>
  <si>
    <t>✅ AI: porównanie React Native vs Flutter dla GPS → Pomoc AI → P-10, P-12</t>
  </si>
  <si>
    <t>4.02</t>
  </si>
  <si>
    <t>Implementacja trackers GPS — zbieranie danych</t>
  </si>
  <si>
    <t>Moduł zbierający: lat/lon co 30 sek, dystans (Haversine), prędkość, timestamp, ID pojazdu, ID kampanii. Pauza "tryb prywatny". Dane → Supabase/Firebase (REST API)</t>
  </si>
  <si>
    <t>Dev</t>
  </si>
  <si>
    <t>Background location permission wymagane (iOS + Android). Szczegóły algorytmu → zakładka GPS App &amp; Panel G.04</t>
  </si>
  <si>
    <t>✅ AI: gotowy kod trackera GPS (React Native + Expo) → Pomoc AI → P-10, P-12</t>
  </si>
  <si>
    <t>4.03</t>
  </si>
  <si>
    <t>Panel kierowcy – widok aplikacji mobilnej</t>
  </si>
  <si>
    <t>Ekrany: (1) Dashboard (km miesięczne, zarobki, kampania aktywna), (2) Mapa tras (historia przejechanych tras), (3) Wypłata (stan konta, daty przelewów), (4) Profil + dokumenty. SZCZEGÓŁY → GPS App &amp; Panel</t>
  </si>
  <si>
    <t>UX: musi być prosta. Kierowca sprawdza 1 x dzień, 30 sek</t>
  </si>
  <si>
    <t>✅ AI: wireframes panelu kierowcy + user stories → Pomoc AI → P-12, P-13</t>
  </si>
  <si>
    <t>4.04</t>
  </si>
  <si>
    <t>Funkcja zdjęć dowodowych (proof-of-placement)</t>
  </si>
  <si>
    <t>Kierowca robi zdjęcie auta z reklamą: aparat → geotag (GPS coord) → timestamp → upload do storage (Supabase/Firebase). Admin widzi w panelu</t>
  </si>
  <si>
    <t>Wymagane przez DPIA jako weryfikacja kampanii. Geotag = dowód lokalizacji</t>
  </si>
  <si>
    <t>✅ AI: spec modułu zdjęć dowodowych → Pomoc AI → P-12</t>
  </si>
  <si>
    <t>4.05</t>
  </si>
  <si>
    <t>Algorytm obliczania impressions GPS</t>
  </si>
  <si>
    <t>Na podstawie: km przejechanych, danych AADT (natężenie ruchu GDDKiA), stref miejskich. Wynik: estymowane dziennie/miesięczne impressions + CPM. SZCZEGÓŁY: zakładka GPS App &amp; Panel → G.08</t>
  </si>
  <si>
    <t>Dev + Founder</t>
  </si>
  <si>
    <t>Dane AADT bezpłatne: gddkia.gov.pl. Model impressions = USP produktu</t>
  </si>
  <si>
    <t>✅ AI: gotowy algorytm + kod Python/JS impressions → Pomoc AI → P-13</t>
  </si>
  <si>
    <t>4.06</t>
  </si>
  <si>
    <t>Wdrożenie aplikacji: TestFlight (iOS) + beta Android</t>
  </si>
  <si>
    <t>Dystrybucja testowa do pierwszych 10 kierowców. Zbierz feedback (formularze). Poprawki przed publicznym launch</t>
  </si>
  <si>
    <t>Dev + Justyna</t>
  </si>
  <si>
    <t>TestFlight: wymagane konto Apple Developer (99$/rok). Android: APK bezpośrednio</t>
  </si>
  <si>
    <t>✅ AI: plan beta testów + formularz feedbacku → Pomoc AI → P-12</t>
  </si>
  <si>
    <t xml:space="preserve">  ▶  🖥️ PANEL REKLAMODAWCY (WEB DASHBOARD)</t>
  </si>
  <si>
    <t>4.07</t>
  </si>
  <si>
    <t>Projekt UX/UI panelu reklamodawcy</t>
  </si>
  <si>
    <t>Ekrany: (1) Dashboard (km, impressions, CPM, mapa LIVE), (2) Mapa tras (agregacja wszystkich pojazdów kampanii), (3) Pojazdy (lista, status, zdjęcia), (4) Raporty (eksport PDF/CSV), (5) Faktury</t>
  </si>
  <si>
    <t>Stack: Next.js + Tailwind + Mapbox/Google Maps API. SZCZEGÓŁY → GPS App &amp; Panel</t>
  </si>
  <si>
    <t>✅ AI: wireframes panelu reklamodawcy + user stories → Pomoc AI → P-12, P-13</t>
  </si>
  <si>
    <t>4.08</t>
  </si>
  <si>
    <t>Mapa LIVE tras GPS w panelu reklamodawcy</t>
  </si>
  <si>
    <t>Integracja Mapbox GL JS lub Google Maps Platform. Poligony stref, heat map gęstości tras, filtr po czasie/pojazd. Update co 5 min (nie live stream – oszczędność kosztów API)</t>
  </si>
  <si>
    <t>Mapbox free tier: 50k/mies. tile requests. Google Maps: $7/1000 req. Wybierz Mapbox</t>
  </si>
  <si>
    <t>✅ AI: kod integracji Mapbox + heat map tras → Pomoc AI → P-12, P-13</t>
  </si>
  <si>
    <t>4.09</t>
  </si>
  <si>
    <t>Moduł raportowania automatycznego (PDF/email)</t>
  </si>
  <si>
    <t>Generowanie raportu miesięcznego: km, mapa tras (screenshot), impressions, CPM, zdjęcia aut. Auto-wysyłka emailem 1-go każdego miesiąca. Stack: jsPDF lub Puppeteer</t>
  </si>
  <si>
    <t>Raport = główna wartość dla reklamodawcy. Zastępuje ręczne PDF</t>
  </si>
  <si>
    <t>✅ AI: spec raportu automatycznego + szablon PDF → Pomoc AI → P-05, P-12</t>
  </si>
  <si>
    <t>4.10</t>
  </si>
  <si>
    <t>Integracja płatności Stripe Connect</t>
  </si>
  <si>
    <t>Stripe Connect (marketplace model): reklamodawca płaci → AdRide zatrzymuje prowizję → wypłata kierowcy automatyczna. Subaccounts dla każdego kierowcy. RODO: dane bankowe przez Stripe, nie AdRide</t>
  </si>
  <si>
    <t>Stripe Connect Marketplace: 0.25% + $0.25 per payout. Koszt niski</t>
  </si>
  <si>
    <t>✅ AI: dokumentacja Stripe Connect setup + code → Pomoc AI → P-12</t>
  </si>
  <si>
    <t xml:space="preserve">  ▶  ⚙️ PANEL ADMINA + INFRASTRUKTURA</t>
  </si>
  <si>
    <t>4.11</t>
  </si>
  <si>
    <t>Panel admina – zarządzanie kampaniami</t>
  </si>
  <si>
    <t>Ekrany: (1) Kampanie (dodaj/edytuj/zakończ), (2) Kierowcy (lista, statusy, km, wypłaty), (3) Reklamodawcy (umowy, faktury), (4) GPS (monitoring aktywności), (5) Alerty (pojazd nieaktywny, problem GPS)</t>
  </si>
  <si>
    <t>⚙️ ADMIN</t>
  </si>
  <si>
    <t>Minimalistyczny – tylko to co potrzeba do operacji</t>
  </si>
  <si>
    <t>✅ AI: spec panelu admina + user stories → Pomoc AI → P-12</t>
  </si>
  <si>
    <t>4.12</t>
  </si>
  <si>
    <t>Konfiguracja bazy danych i hostingu (Supabase)</t>
  </si>
  <si>
    <t>Supabase: PostgreSQL + REST API + Auth + Storage (zdjęcia). Free tier: 500 MB DB, 1 GB storage. Docelowo: Pro plan (~25$/mies.)</t>
  </si>
  <si>
    <t>⚙️ INFRA</t>
  </si>
  <si>
    <t>Schema: vehicles, drivers, campaigns, gps_tracks, advertisers, reports</t>
  </si>
  <si>
    <t>✅ AI: schema bazy danych + SQL setup → Pomoc AI → P-12</t>
  </si>
  <si>
    <t>4.13</t>
  </si>
  <si>
    <t>Testy end-to-end + launch techniczna</t>
  </si>
  <si>
    <t>Scenariusze testów: kierowca jedzie → GPS zapisuje → panel reklamodawcy widzi → raport generuje. UAT z pierwszymi kierowcami. Naprawa bugów. Soft launch</t>
  </si>
  <si>
    <t>⚙️ TESTY</t>
  </si>
  <si>
    <t>Dev + Founder + Justyna</t>
  </si>
  <si>
    <t>KPI Gate: GPS v1 działa + panel kierowcy + panel reklamodawcy online</t>
  </si>
  <si>
    <t>✅ AI: plan testów UAT + checklist → Pomoc AI → P-12</t>
  </si>
  <si>
    <t>🚗 AdRide.pl — FAZA 5: Skalowanie 50 Aut (15.08–23.10.2026)</t>
  </si>
  <si>
    <t>📅 15.08–23.10.2026 | Owner: Founder + Justyna + Dev</t>
  </si>
  <si>
    <t>🎯 KPI GATE: ✅ 50 aktywnych aut | ✅ 5 reklamodawców | ✅ MRR ≥ 100 000 zł | ✅ GPS App v1.1 stabilna | ✅ Stripe Connect automatyczny</t>
  </si>
  <si>
    <t xml:space="preserve">  ▶  📈 SKALOWANIE – POZYSKIWANIE KIEROWCÓW</t>
  </si>
  <si>
    <t>5.01</t>
  </si>
  <si>
    <t>Rekrutacja do 50 aktywnych kierowców</t>
  </si>
  <si>
    <t>Program referral: +100 zł za polecenie aktywowanego kierowcy. Ogłoszenia OLX/Pracuj.pl. Kampania Ads (optymalizacja na CPA z Fazy 2)</t>
  </si>
  <si>
    <t>📈 SKALA</t>
  </si>
  <si>
    <t>31.08.2026</t>
  </si>
  <si>
    <t>Cel: 50 kierowców aktywnych (nie tylko waitinglist)</t>
  </si>
  <si>
    <t>✅ AI: program referral + treść ogłoszeń → Pomoc AI → P-06</t>
  </si>
  <si>
    <t>5.02</t>
  </si>
  <si>
    <t>Rozbuduj sieć foliowni – 2 nowe partnerstwa</t>
  </si>
  <si>
    <t>Przy 50 autach Włodek może być wąskim gardłem. Onboarduj 2 dodatkowe foliownie w Warszawie. Stawki, umowy, workflow</t>
  </si>
  <si>
    <t>Capacity: 1 foliownia = max 15–20 aut/mies. przy pełnych oklejeniach</t>
  </si>
  <si>
    <t>5.03</t>
  </si>
  <si>
    <t>Automatyzacja onboardingu kierowców</t>
  </si>
  <si>
    <t>Zapier/n8n: formularz → weryfikacja → SMS instrukcja → umowa (DocuSign/Autenti) → GPS aktywacja → oklejenie termin. BEZ manualnych kroków</t>
  </si>
  <si>
    <t>Justyna + Dev</t>
  </si>
  <si>
    <t>30.08.2026</t>
  </si>
  <si>
    <t>Przy 50+ kierowcach manual onboarding to za dużo czasu</t>
  </si>
  <si>
    <t>✅ AI: flow automatyzacji n8n dla onboardingu → Pomoc AI → P-10</t>
  </si>
  <si>
    <t xml:space="preserve">  ▶  💼 SPRZEDAŻ B2B – SKALOWANIE</t>
  </si>
  <si>
    <t>5.04</t>
  </si>
  <si>
    <t>Zamknij 5 aktywnych reklamodawców łącznie</t>
  </si>
  <si>
    <t>Cel: min. 5 reklamodawców płacących jednocześnie. MRR z samej prowizji: &gt;60 000 zł</t>
  </si>
  <si>
    <t>💼 B2B</t>
  </si>
  <si>
    <t>30.09.2026</t>
  </si>
  <si>
    <t>5 reklamodawców × avg. 12 000 zł = 60 000 zł MRR (bez oklejenia)</t>
  </si>
  <si>
    <t>✅ AI: pitch deck update + skrypt Belfort v2 → Pomoc AI → P-07</t>
  </si>
  <si>
    <t>5.05</t>
  </si>
  <si>
    <t>LinkedIn content machine – Gary Vee system</t>
  </si>
  <si>
    <t>Tygodniowo: 1 post LinkedIn (edukacja/wyniki), 3 TikTok/Reels, 1 case study lub raport GPS. $1.80 strategy codziennie</t>
  </si>
  <si>
    <t>💼 CONTENT</t>
  </si>
  <si>
    <t>31.10.2026</t>
  </si>
  <si>
    <t>Cel organiczny: 2 inbound leads/tydzień z LinkedIn</t>
  </si>
  <si>
    <t>✅ AI: tygodniowy plan contentu + posty gotowe → Pomoc AI → P-06</t>
  </si>
  <si>
    <t>5.06</t>
  </si>
  <si>
    <t>Uruchom Kalkulator Zasięgu GPS (lead magnet)</t>
  </si>
  <si>
    <t>Narzędzie online: Dzielnica + Liczba aut + Czas → estymowane km, impressions, CPM. Zbiera email → sekwencja 5 emaili (Brunson funnel). Platforma: Webflow Embed lub custom</t>
  </si>
  <si>
    <t>💼 FUNNEL</t>
  </si>
  <si>
    <t>To jest główny lead magnet B2B. SZCZEGÓŁY → GPS App &amp; Panel → G.08</t>
  </si>
  <si>
    <t>✅ AI: kod kalkulatora + sekwencja emaili Brunson → Pomoc AI → P-13, P-07</t>
  </si>
  <si>
    <t>5.07</t>
  </si>
  <si>
    <t>Zbuduj CRM B2B w Pipedrive</t>
  </si>
  <si>
    <t>Migracja z Google Sheets do Pipedrive (pełny CRM). Pipeline: Lead → Contacted → Demo → Proposal → Signed → Active. Automations: follow-up po 3 dniach</t>
  </si>
  <si>
    <t>Pipedrive: $15/mies. Warto przy &gt;20 leadach w pipeline</t>
  </si>
  <si>
    <t>✅ AI: konfiguracja Pipedrive + automations → Pomoc AI → P-09</t>
  </si>
  <si>
    <t xml:space="preserve">  ▶  ⚙️ OPERACJE &amp; FINANSE</t>
  </si>
  <si>
    <t>5.08</t>
  </si>
  <si>
    <t>Wdrożenie Stripe Connect – automatyczne wypłaty</t>
  </si>
  <si>
    <t>Wypłaty miesięczne dla kierowców automatycznie przez Stripe Connect. Prowizja AdRide zatrzymywana automatycznie</t>
  </si>
  <si>
    <t>⚙️ FINANSE</t>
  </si>
  <si>
    <t>Przy 50 kierowcach manual przelewów = niemożliwe</t>
  </si>
  <si>
    <t>5.09</t>
  </si>
  <si>
    <t>Raportowanie MRR / Finanse miesięczne</t>
  </si>
  <si>
    <t>Tracking: MRR, CAC kierowcy, CAC reklamodawcy, marża brutto, czas do break-even. Google Sheets lub Notion Finance</t>
  </si>
  <si>
    <t>Cel: MRR ≥ 100 000 zł do końca Fazy 5</t>
  </si>
  <si>
    <t>✅ AI: szablon dashboardu finansowego → Pomoc AI → P-01, P-03</t>
  </si>
  <si>
    <t>5.10</t>
  </si>
  <si>
    <t>Zatrudnij first hire: Ops Manager lub junior PM</t>
  </si>
  <si>
    <t>Przy 50 autach + 5 reklamodawcach: operacje przekraczają 15h/tyg Founder. Opcja: Justyna na pełen etat lub dodatkowy junior</t>
  </si>
  <si>
    <t>⚙️ ZESPÓŁ</t>
  </si>
  <si>
    <t>Trigger: gdy sam nie możesz dowieźć Fazy 6 bez wsparcia</t>
  </si>
  <si>
    <t>✅ AI: ogłoszenie o pracę + opis stanowiska → Pomoc AI</t>
  </si>
  <si>
    <t>5.11</t>
  </si>
  <si>
    <t>Optymalizacja aplikacji GPS na podstawie feedbacku</t>
  </si>
  <si>
    <t>Zbierz feedback od 50 kierowców: co nie działa, co wolne, co brakuje. Poprawki: UX, battery drain, GPS accuracy</t>
  </si>
  <si>
    <t>⚙️ TECH</t>
  </si>
  <si>
    <t>Aktualizacja v1.1 → v1.2 na podstawie danych z wdrożenia</t>
  </si>
  <si>
    <t>✅ AI: analiza feedbacku + priorytetyzacja → Pomoc AI → P-12</t>
  </si>
  <si>
    <t>5.12</t>
  </si>
  <si>
    <t>Rozbuduj panel reklamodawcy – v2.0</t>
  </si>
  <si>
    <t>Nowe funkcje: porównanie kampanii (vs poprzedni mies.), eksport do CSV, API webhook dla reklamodawców z własnymi systemami, notyfikacje email/SMS</t>
  </si>
  <si>
    <t>Funkcje pro = argument za pakietem SCALE (2497/mies.)</t>
  </si>
  <si>
    <t>✅ AI: spec nowych funkcji v2 → Pomoc AI → P-12</t>
  </si>
  <si>
    <t>5.13</t>
  </si>
  <si>
    <t>Strategia ekspansji na 2. miasto (wstępna)</t>
  </si>
  <si>
    <t>Badanie rynku: Kraków vs Wrocław vs Trójmiasto. Analiza: kierowcy Bolt/Uber, lokalne biznesy, potencjalni partnerzy foliowania. Raport + decyzja</t>
  </si>
  <si>
    <t>⚙️ STRATEGIA</t>
  </si>
  <si>
    <t>Raport = input do Fazy 6 (decyzja: start 2. miasto)</t>
  </si>
  <si>
    <t>✅ AI: analiza rynku 2. miasto + framework decyzji → Pomoc AI → P-02</t>
  </si>
  <si>
    <t>🚗 AdRide.pl — FAZA 6: Break-even 100 Aut (23.10–31.12.2026)</t>
  </si>
  <si>
    <t>📅 23.10–31.12.2026 | Owner: Founder + Justyna + Dev</t>
  </si>
  <si>
    <t>🎯 KPI GATE: ✅ 100 aktywnych aut | ✅ 10 reklamodawców | ✅ Zysk op. ≥ 25 000 zł/mies. | ✅ Start 2. miasto | ✅ GPS App v2.0</t>
  </si>
  <si>
    <t xml:space="preserve">  ▶  🏆 BREAK-EVEN 100 AUT</t>
  </si>
  <si>
    <t>6.01</t>
  </si>
  <si>
    <t>Osiągnij 100 aktywnych aut w Warszawie</t>
  </si>
  <si>
    <t>Podwojenie floty z 50 do 100. Rekrutacja: referral + Ads + content. Nowe partnerstwa foliowni</t>
  </si>
  <si>
    <t>🏆 SKALA</t>
  </si>
  <si>
    <t>Justyna + Founder</t>
  </si>
  <si>
    <t>100 aut × avg. 1000 zł marży = 100 000 zł/mies. marża brutto</t>
  </si>
  <si>
    <t>✅ AI: plan skalowania rekrutacji kierowców → Pomoc AI → P-06</t>
  </si>
  <si>
    <t>6.02</t>
  </si>
  <si>
    <t>10 aktywnych reklamodawców łącznie</t>
  </si>
  <si>
    <t>Skalowanie B2B: dosprzedaż do obecnych + nowi. Pakiety flotowe 3–5 aut dominują. MRR cel: 200 000 zł+</t>
  </si>
  <si>
    <t>🏆 SPRZEDAŻ</t>
  </si>
  <si>
    <t>Break-even AdRide: 100 aut + zysk op. 25 000 zł/mies.</t>
  </si>
  <si>
    <t>✅ AI: strategia upsell do obecnych klientów → Pomoc AI → P-07</t>
  </si>
  <si>
    <t>6.03</t>
  </si>
  <si>
    <t>Zysk operacyjny ≥ 25 000 zł/mies.</t>
  </si>
  <si>
    <t>Przychody – (wypłaty kierowców + foliowanie + ops + marketing + tech). Cel: 25k/mies. zysku operacyjnego</t>
  </si>
  <si>
    <t>🏆 FINANSE</t>
  </si>
  <si>
    <t>Fundament pod rundę inwestycyjną lub ekspansję</t>
  </si>
  <si>
    <t>✅ AI: model P&amp;L projekcja → Pomoc AI → P-01, P-03</t>
  </si>
  <si>
    <t>6.04</t>
  </si>
  <si>
    <t>Start w 2. mieście – Kraków lub Wrocław</t>
  </si>
  <si>
    <t>Na podstawie analizy z Fazy 5: wybierz miasto, onboarduj pierwszych 10 kierowców, znajdź partnera foliowania, zamknij 2 reklamodawców lokalnych</t>
  </si>
  <si>
    <t>🏆 EKSPANSJA</t>
  </si>
  <si>
    <t>2. miasto = proof of concept modelu skalowalnego</t>
  </si>
  <si>
    <t>✅ AI: playbook ekspansji na nowe miasto → Pomoc AI → P-02, P-09</t>
  </si>
  <si>
    <t>6.05</t>
  </si>
  <si>
    <t>GPS App v2.0 – zaawansowany tracking i analytics</t>
  </si>
  <si>
    <t>Nowe funkcje: heatmapy dzielnicowe, eksport danych API, scoring ekspozycji, algorytm doboru kierowców do kampanii (matching engine)</t>
  </si>
  <si>
    <t>🏆 TECH</t>
  </si>
  <si>
    <t>Matching engine = przewaga konkurencyjna przy skalowaniu</t>
  </si>
  <si>
    <t>✅ AI: spec matching engine GPS → Pomoc AI → P-12, P-13</t>
  </si>
  <si>
    <t>6.06</t>
  </si>
  <si>
    <t>Przygotuj materials do rundy seed / inwestorów</t>
  </si>
  <si>
    <t>Pitch deck (update), financial model (12-mies. aktualne), unit economics, ARR/MRR trajectory, team slide, 2-city expansion plan</t>
  </si>
  <si>
    <t>🏆 FUNDRAISING</t>
  </si>
  <si>
    <t>Masz dane GPS = rzadkość wśród pre-seed startupów</t>
  </si>
  <si>
    <t>✅ AI: pitch deck dla inwestorów (Brunson storytelling) → Pomoc AI → P-04</t>
  </si>
  <si>
    <t>6.07</t>
  </si>
  <si>
    <t>Legal: aktualizacja umów dla modelu 2-miejskiego</t>
  </si>
  <si>
    <t>Umowy kierowcy/reklamodawcy: zapis o klauzulach multi-city, aktualizacja DPIA dla 2. bazy danych, regulamin v2.0</t>
  </si>
  <si>
    <t>🏆 LEGAL</t>
  </si>
  <si>
    <t>Przed startem 2. miasta muszą być dokumenty zaktualizowane</t>
  </si>
  <si>
    <t>✅ AI: lista zmian prawnych dla 2. miasta → Pomoc AI → P-11</t>
  </si>
  <si>
    <t>6.08</t>
  </si>
  <si>
    <t>System obsługi klienta – helpdesk reklamodawcy</t>
  </si>
  <si>
    <t>Intercom lub Freshdesk (free tier). FAQ, ticket system, SLA: odpowiedź &lt;4h w dniu roboczym. Przy 10+ reklamodawcach niezbędne</t>
  </si>
  <si>
    <t>🏆 OPS</t>
  </si>
  <si>
    <t>30.11.2026</t>
  </si>
  <si>
    <t>Profesjonalna obsługa = niższy churn reklamodawców</t>
  </si>
  <si>
    <t>✅ AI: FAQ helpdesk + szablony odpowiedzi → Pomoc AI</t>
  </si>
  <si>
    <t>6.09</t>
  </si>
  <si>
    <t>Audit RODO i bezpieczeństwo GPS danych</t>
  </si>
  <si>
    <t>Roczny przegląd: DPIA aktualizacja, test penetracyjny API, szyfrowanie danych GPS w spoczynku i transmisji, logi dostępu</t>
  </si>
  <si>
    <t>🏆 RODO</t>
  </si>
  <si>
    <t>Prawnik + Dev</t>
  </si>
  <si>
    <t>Wymagane przed poważną rundą inwestycyjną</t>
  </si>
  <si>
    <t>✅ AI: checklist audit RODO + bezpieczeństwo GPS → Pomoc AI → P-11</t>
  </si>
  <si>
    <t>6.10</t>
  </si>
  <si>
    <t>Benchmarking i raport roczny AdRide 2026</t>
  </si>
  <si>
    <t>Podsumowanie roku: aktywne auta, MRR, reklamodawcy, km przejechane przez wszystkie kampanie, impressions łącznie, CPM avg.</t>
  </si>
  <si>
    <t>🏆 RAPORT</t>
  </si>
  <si>
    <t>Raport roczny = materiał PR, pitch deck, LinkedIn</t>
  </si>
  <si>
    <t>✅ AI: szablon raportu rocznego + press release → Pomoc AI → P-05</t>
  </si>
  <si>
    <t>6.11</t>
  </si>
  <si>
    <t>Strategia na 2027: Polska A, B, C miasta</t>
  </si>
  <si>
    <t>Plan: Warszawa (100+ aut) + Kraków/Wrocław + 2–3 kolejne miasta. Model franczyzowy vs własny? Decyzja fundamentalna</t>
  </si>
  <si>
    <t>🏆 STRATEGIA</t>
  </si>
  <si>
    <t>Input: wyniki pilotażu 2. miasta + unit economics per city</t>
  </si>
  <si>
    <t>✅ AI: analiza modelu skalowalności + scenariusze 2027 → Pomoc AI → P-02</t>
  </si>
  <si>
    <t>🤖 AdRide — Pomoc AI: Co może zrobić Perplexity/Claude/GPT dla Twojego projektu</t>
  </si>
  <si>
    <t>Jak używać: Skopiuj prompt z kolumny "PROMPT GOTOWY DO UŻYCIA", wklej do Perplexity lub Claude, uzupełnij zmienne w [nawiasach kwadratowych]</t>
  </si>
  <si>
    <t>ZADANIE / OBSZAR</t>
  </si>
  <si>
    <t>PROMPT GOTOWY DO UŻYCIA</t>
  </si>
  <si>
    <t>CZAS AI (min)</t>
  </si>
  <si>
    <t>P-01</t>
  </si>
  <si>
    <t>Budowa modelu unit economics</t>
  </si>
  <si>
    <t>Jesteś ekspertem finansowym od startupów marketplace. Zbuduj mi model unit economics dla AdRide.pl — platformy reklamy mobilnej w Polsce. Model: reklamodawca płaci za oklejenie auta (jednorazowo) + prowizja miesięczna AdRide. Kierowca dostaje wynagrodzenie miesięczne. Zbuduj tabelę z kolumnami: Scenariusz (10/50/100 aut), Przychód B2B (prowizja), Koszt kierowcy, Koszt oklejenia (amortyzacja), Koszty stałe (ops/marketing/tech), Marża brutto, Break-even. Wersja w PLN.</t>
  </si>
  <si>
    <t>📊 FINANSE</t>
  </si>
  <si>
    <t>P-02</t>
  </si>
  <si>
    <t>Analiza rynku i skalowanie</t>
  </si>
  <si>
    <t>Jesteś ekspertem od skalowania startupów B2B marketplace w Polsce. Przeanalizuj dla AdRide.pl: (1) Potencjał rynku reklamy mobilnej w Polsce (OOH segment), (2) Porównanie konkurencji (oklejanie aut vs billboard vs digital), (3) Strategię ekspansji na 3 pierwsze miasta (Warszawa → Kraków → Wrocław): KPI, zasoby, harmonogram, ryzyka. Format: raport z tabelami.</t>
  </si>
  <si>
    <t>FAZA 5–6</t>
  </si>
  <si>
    <t>📈 STRATEGIA</t>
  </si>
  <si>
    <t>P-03</t>
  </si>
  <si>
    <t>Kalkulator break-even AdRide</t>
  </si>
  <si>
    <t>Zbuduj kalkulator break-even dla AdRide w Google Sheets. Założenia: Stałe koszty miesięczne: [wymień swoje koszty]. Zmienne: wynagrodzenie kierowcy [X zł], prowizja AdRide [X% lub zł/mies.], czas do pierwszego przychodu. Pokaż: ile aut/reklamodawców potrzeba do pokrycia stałych kosztów. Wersja tabela + wykres.</t>
  </si>
  <si>
    <t>P-04</t>
  </si>
  <si>
    <t>Deck biznesowy i pitch</t>
  </si>
  <si>
    <t>Jesteś Russellem Brunsonem i Alexem Hormozim. Zbuduj strukturę pitch decku dla AdRide.pl (12–15 slajdów). AdRide to platforma reklamy mobilnej z GPS: kierowcy zarabiają na oklejeniu aut, reklamodawcy płacą za mierzalne km ekspozycji. Rynek: OOH Polska 870 mln PLN. USP: GPS rozliczanie per km (jedyni w Polsce). Dla każdego slajdu daj: tytuł, kluczowe punkty (3 max), sugestię wizualną.</t>
  </si>
  <si>
    <t>P-05</t>
  </si>
  <si>
    <t>Treści marketingowe i copywriting</t>
  </si>
  <si>
    <t>Jesteś Sethem Godinem i Alexem Hormozim. Napisz dla AdRide.pl: (1) Tagline (3 propozycje), (2) One-liner dla reklamodawcy (max 2 zdania), (3) One-liner dla kierowcy, (4) Treść sekcji hero na stronę główną, (5) Treść case study pierwszego klienta (Piotr Gilarski, oklejone auto Warszawa Mokotów, 40 km/dzień, 2 140 km/mies., 480 zł zarobków), (6) Treść raportu miesięcznego PDF dla reklamodawcy (szablon).</t>
  </si>
  <si>
    <t>FAZA 0–3</t>
  </si>
  <si>
    <t>✍️ COPY</t>
  </si>
  <si>
    <t>P-06</t>
  </si>
  <si>
    <t>Strategia contentowa i social media</t>
  </si>
  <si>
    <t>Jesteś Gary Vee. Zbuduj dla AdRide.pl tygodniowy plan contentu na 4 tygodnie: TikTok (3 filmy/tydzień), LinkedIn (2 posty/tydzień), Instagram Reels (2/tydzień), Facebook Grupy (2 posty/tydzień). Dla każdej platformy: format, hook (pierwsze 3 sekundy), treść, CTA. Dwie grupy odbiorców: kierowcy (18–35 lat, Bolt/Uber) i reklamodawcy (właściciele małych firm Warszawa, 30–50 lat). Podaj też 5 konkretnych tytułów filmów TikTok dla AdRide.</t>
  </si>
  <si>
    <t>FAZA 2–5</t>
  </si>
  <si>
    <t>📱 CONTENT</t>
  </si>
  <si>
    <t>P-07</t>
  </si>
  <si>
    <t>Skrypty sprzedażowe i cold outreach</t>
  </si>
  <si>
    <t>Jesteś Jordanem Belfortem. Napisz dla AdRide.pl: (1) Cold email do reklamodawcy (lokalny biznes Warszawa, właściciel restauracji/kliniki/siłowni) — max 150 słów, (2) Follow-up email (dzień 3), (3) Skrypt telefonu cold call (60 sek), (4) Obsługę 5 głównych obiekcji: "za drogo", "muszę pomyśleć", "muszę zapytać wspólnika", "nie wiem czy to działa", "mam agencję", (5) 3 techniki zamknięcia sprzedaży (assumptive/alternative/summary close).</t>
  </si>
  <si>
    <t>FAZA 1–5</t>
  </si>
  <si>
    <t>📞 SPRZEDAŻ</t>
  </si>
  <si>
    <t>P-08</t>
  </si>
  <si>
    <t>CRM i prospecting B2B</t>
  </si>
  <si>
    <t>Zaprojektuj dla AdRide.pl: (1) Strukturę CRM w Google Sheets (kolumny, statusy pipeline, automations z Zapier), (2) Listę 20 typów firm w Warszawie które są idealnym klientem AdRide (branża, przykładowe firmy, dlaczego pasują), (3) Prompt do Apollo.io: jak filtrować firmy po branży/rozmiarze/lokalizacji, (4) Szablon personalizacji cold emaila dla 5 różnych branż.</t>
  </si>
  <si>
    <t>📋 CRM</t>
  </si>
  <si>
    <t>P-09</t>
  </si>
  <si>
    <t>Procesy operacyjne i automatyzacja</t>
  </si>
  <si>
    <t>Jesteś ekspertem operacyjnym i znasz n8n. Zaprojektuj dla AdRide.pl automatyzacje: (1) Onboarding nowego kierowcy: formularz → weryfikacja → SMS → umowa (Autenti/DocuSign) → GPS aktywacja → termin oklejenia. Narzędzie: n8n. (2) Miesięczne rozliczenie: sumowanie km z GPS → kalkulacja wypłaty → przelew Stripe → PDF raport → email do reklamodawcy. Podaj flow n8n z węzłami i opisem każdego kroku.</t>
  </si>
  <si>
    <t>FAZA 0–5</t>
  </si>
  <si>
    <t>⚙️ OPS/AUTO</t>
  </si>
  <si>
    <t>P-10</t>
  </si>
  <si>
    <t>Specyfikacja techniczna aplikacji GPS</t>
  </si>
  <si>
    <t>Jesteś senior mobile developerem. Napisz specyfikację techniczną aplikacji GPS dla kierowcy AdRide: (1) Tech stack: React Native + Expo, (2) Lista wszystkich ekranów z opisem funkcji, (3) Architektura modułu GPS: background location, interval tracking, Haversine distance, upload do Supabase, tryb prywatny (pauza), (4) Wymagania: iOS 14+ / Android 8+, background mode, battery optimization, (5) Schemat bazy danych: tabele i relacje. Format: spec techniczna gotowa dla developera.</t>
  </si>
  <si>
    <t>📱 GPS TECH</t>
  </si>
  <si>
    <t>P-11</t>
  </si>
  <si>
    <t>Dokumenty prawne i RODO</t>
  </si>
  <si>
    <t>Jesteś radcą prawnym specjalizującym się w prawie IT i e-commerce w Polsce. Przygotuj dla AdRide.pl: (1) Checklist weryfikacji prawnej modelu biznesowego (reklama na prywatnych autach + GPS tracking), (2) Kluczowe zapisy do umowy z kierowcą (RODO GPS, kara umowna, zakaz zdejmowania folii), (3) Kluczowe zapisy do umowy z reklamodawcą, (4) Lista punktów do sprawdzenia z ubezpieczycielem (OC/AC + oklejenie komercyjne), (5) Klauzula zgody na GPS tracking zgodna z RODO art. 6 i art. 9.</t>
  </si>
  <si>
    <t>P-12</t>
  </si>
  <si>
    <t>Kod aplikacji i panelu (programowanie)</t>
  </si>
  <si>
    <t>Jesteś senior full-stack developerem znającym React Native, Next.js, Supabase i Stripe Connect. Napisz [WYBIERZ JEDEN]: (A) Pełny kod modułu GPS tracking w React Native + Expo (background location + upload Supabase + Haversine), (B) Komponent mapy Mapbox w Next.js z real-time trasami z Supabase, (C) Setup Stripe Connect Marketplace (charge + fee + payout), (D) Schemat bazy Supabase + Row Level Security dla GPS, (E) Edge Function cron do generowania raportu PDF. Kod powinien być gotowy do uruchomienia, z komentarzami PL.</t>
  </si>
  <si>
    <t>💻 KOD</t>
  </si>
  <si>
    <t>P-13</t>
  </si>
  <si>
    <t>Algorytm impressions i kalkulator CPM</t>
  </si>
  <si>
    <t>Jesteś ekspertem od mierzenia efektywności reklamy OOH i data scientist. Zbuduj algorytm dla AdRide: WEJŚCIE: dane GPS (lat/lon/timestamp dla trasy), dane AADT (natężenie ruchu per strefa Warszawy). WYJŚCIE: (1) Liczba dziennych impressions dla danej trasy, (2) Miesięczne impressions łącznie, (3) CPM (koszt na 1000 impressions), (4) Mapa heatmap ekspozycji po dzielnicach. Implementacja: Python + pandas. Podaj też: skąd bezpłatnie pobrać dane AADT dla Warszawy (GDDKiA, ZDM).</t>
  </si>
  <si>
    <t>FAZA 0, 4–5</t>
  </si>
  <si>
    <t>📊 ALGORYTM</t>
  </si>
  <si>
    <t>P-14</t>
  </si>
  <si>
    <t>Fundraising i inwestorzy</t>
  </si>
  <si>
    <t>Jesteś Russellem Brunsonem i YC Partner. Pomóż mi przygotować AdRide do pozyskania inwestora seed: (1) Jakie KPI są kluczowe dla inwestora (MRR, NPS, churn, unit economics), (2) Jak wycenić AdRide przed rundą (comparable multiples dla OOH + marketplace), (3) Struktura pitch dla anioła biznesu vs VC (różnice), (4) Top 5 pytań trudnych od inwestora i odpowiedzi, (5) Template cold email do VC/anioła biznesu. Kontekst: AdRide ma [X] aktywnych aut, [X] reklamodawców, MRR [X] PLN.</t>
  </si>
  <si>
    <t>💰 FUNDRAISING</t>
  </si>
  <si>
    <t>🧭 STRATEGIA 8 EKSPERTÓW — AdRide Playbook</t>
  </si>
  <si>
    <t>Godin→Hormozi→Brunson→Gary Vee→Belfort→Kennedy→Cardone→Robbins | ŚCIEŻKA A: Launch Mode</t>
  </si>
  <si>
    <t xml:space="preserve">  🟣 SETH GODIN — Brand &amp; Pozycjonowanie</t>
  </si>
  <si>
    <t xml:space="preserve">  "Nie musisz być lepszy. Musisz być inny dla właściwych ludzi."</t>
  </si>
  <si>
    <t xml:space="preserve">  📋 DIAGNOZA: AdRide jest opisane jak PRODUKT, nie jak RUCH. Brakuje: dlaczego ktoś miałby TO wybrać i o tym mówić.</t>
  </si>
  <si>
    <t>#</t>
  </si>
  <si>
    <t>ZADANIE / AKCJA</t>
  </si>
  <si>
    <t>KIEDY</t>
  </si>
  <si>
    <t>SZCZEGÓŁY / JAK</t>
  </si>
  <si>
    <t>NARZĘDZIE / OUTPUT</t>
  </si>
  <si>
    <t>STATUS ▾</t>
  </si>
  <si>
    <t>Persona Kierowcy</t>
  </si>
  <si>
    <t>🔴 DZIŚ</t>
  </si>
  <si>
    <t>Mateusz, 31 lat, Uber/Bolt, 3–5k km/mies., rata leasingu, liczy każdą złotówkę — KONKRETNA osoba, nie 'każdy kto ma auto'</t>
  </si>
  <si>
    <t>Dokument Google 1 strona</t>
  </si>
  <si>
    <t>✅ Gotowe</t>
  </si>
  <si>
    <t>Persona Reklamodawcy</t>
  </si>
  <si>
    <t>Lokalny biznes Wwa (klinika/restauracja/salon). 2–10k zł/mies. na FB Ads. Czuje że efekty słabną. Chce lokalnego, fizycznego.</t>
  </si>
  <si>
    <t>Tagline i Brand Story</t>
  </si>
  <si>
    <t>🟠 TEN TYDZIEŃ</t>
  </si>
  <si>
    <t>"Twoja reklama jedzie tam gdzie są Twoi klienci." + Brand Story: problem/inni/my wierzymy/dlatego — wklej na stronę i LinkedIn</t>
  </si>
  <si>
    <t>Strona + LinkedIn + emaile</t>
  </si>
  <si>
    <t>✅ Gotowe w sesji</t>
  </si>
  <si>
    <t>Purple Cow: GPS per km</t>
  </si>
  <si>
    <t>'Pierwsza platforma w PL gdzie płacisz za faktycznie przejechane km — nie za obietnicę zasięgu' — zakomunikuj WSZĘDZIE</t>
  </si>
  <si>
    <t>Każdy punkt kontaktu z klientem</t>
  </si>
  <si>
    <t xml:space="preserve">  💰 ALEX HORMOZI — Oferta &amp; Wartość</t>
  </si>
  <si>
    <t xml:space="preserve">  "Nie sprzedajesz reklamy na aucie. Sprzedajesz mierzalną lokalną ekspozycję bez ryzyka."</t>
  </si>
  <si>
    <t xml:space="preserve">  📋 DIAGNOZA: 3 problemy: (1) Puste ceny w umowie B2B — blokuje sprzedaż, (2) Brak nazwanego mechanizmu, (3) Ryzyko po stronie kupującego.</t>
  </si>
  <si>
    <t>H.01</t>
  </si>
  <si>
    <t>Nazwij mechanizm</t>
  </si>
  <si>
    <t>"System Lokalnej Ekspozycji GPS" / "Kampania GPS AdRide" — nie tylko 'reklama na aucie'</t>
  </si>
  <si>
    <t>Na stronie + emailach + prezentacji</t>
  </si>
  <si>
    <t>H.02</t>
  </si>
  <si>
    <t>Cena pakietu START</t>
  </si>
  <si>
    <t>🔴 DZIŚ — BLOKUJE SPRZEDAŻ</t>
  </si>
  <si>
    <t>Oklejenie: [cena Włodka+marża] + 997 zł/mies. + demontaż: [cena Włodka+marża]. Wpisz do Umowy Rek. §5.1</t>
  </si>
  <si>
    <t>Umowa Reklamodawcy §5.1</t>
  </si>
  <si>
    <t>❌ BRAK</t>
  </si>
  <si>
    <t>H.03</t>
  </si>
  <si>
    <t>Cena pakietu SCALE</t>
  </si>
  <si>
    <t>3–5 pojazdów: oklejenie+997/3-5× + 2497 zł/mies. + demontaż. Min. 6 mies. Rabat volumetryczny?</t>
  </si>
  <si>
    <t>H.04</t>
  </si>
  <si>
    <t>Gwarancja 'Kilometr albo Zwrot'</t>
  </si>
  <si>
    <t>"Gwarantujemy min. 1500 km ekspozycji/pojazd/mies. Jeśli nie — przedłużamy bezpłatnie." GPS to weryfikuje.</t>
  </si>
  <si>
    <t>Na stronie + umowie + rozmowie sprzedażowej</t>
  </si>
  <si>
    <t>H.05</t>
  </si>
  <si>
    <t>Stack wartości</t>
  </si>
  <si>
    <t>🟡 W TEJ FAZIE</t>
  </si>
  <si>
    <t>START: suma wartości ~2000 zł, cena: 997 zł. SCALE: suma ~7300 zł, cena: 2497 zł. Klient kupuje 2x wartości.</t>
  </si>
  <si>
    <t>Prezentacja + PDF pakiety</t>
  </si>
  <si>
    <t xml:space="preserve">  🔺 RUSSELL BRUNSON — Funnele &amp; Ścieżka</t>
  </si>
  <si>
    <t xml:space="preserve">  "Każdy biznes to funnel. Pytanie: czy Twój jest przypadkowy czy zaprojektowany?"</t>
  </si>
  <si>
    <t xml:space="preserve">  📋 DIAGNOZA: Brakuje ścieżki. Ktoś słyszy o AdRide → ??? → podpisuje umowę. To ??? kosztuje każdego klienta.</t>
  </si>
  <si>
    <t>B.01</t>
  </si>
  <si>
    <t>Landing Page Kierowcy LIVE</t>
  </si>
  <si>
    <t>🔴 DO PIĄTKU 23.05</t>
  </si>
  <si>
    <t>Carrd.co lub Webflow. Nagłówek: 'Zarabiaj 350–700 zł/mies. na reklamie na Twoim aucie.' 3 punkty + formularz + CTA</t>
  </si>
  <si>
    <t>adride.pl/kierowca — 2–3h pracy</t>
  </si>
  <si>
    <t>🔴 BLOKUJE supply</t>
  </si>
  <si>
    <t>B.02</t>
  </si>
  <si>
    <t>Kalkulator Zasięgu GPS</t>
  </si>
  <si>
    <t>Google Sheets osadzony na stronie. Dzielnica+auta+czas → km+impressions+CPM. Lead magnet zbiera emaile.</t>
  </si>
  <si>
    <t>adride.pl/kalkulator</t>
  </si>
  <si>
    <t>B.03</t>
  </si>
  <si>
    <t>5 emaili sekwencji</t>
  </si>
  <si>
    <t>E1:historia|E2:adblockery|E3:case study|E4:oferta|E5:urgency. Szkice gotowe w sesji Claude.</t>
  </si>
  <si>
    <t>Mailchimp/ConvertKit free</t>
  </si>
  <si>
    <t>B.04</t>
  </si>
  <si>
    <t>Email marketing skonfigurowany</t>
  </si>
  <si>
    <t>Mailchimp free: 500 kontaktów, 1000 emaili/mies. Autoresponder dla leadów z kalkulatora.</t>
  </si>
  <si>
    <t>mailchimp.com</t>
  </si>
  <si>
    <t>B.05</t>
  </si>
  <si>
    <t>Strona aplikacyjna SCALE</t>
  </si>
  <si>
    <t>5 pytań → tylko poważni wypełniają → Founder oddzwania. Filtruje okna od kupujących.</t>
  </si>
  <si>
    <t>adride.pl/kampania-flotowa</t>
  </si>
  <si>
    <t xml:space="preserve">  📱 GARY VEE — Content &amp; Uwaga</t>
  </si>
  <si>
    <t xml:space="preserve">  "Masz za dużo czasu żeby nie produkować contentu i za mało budżetu żeby go ignorować."</t>
  </si>
  <si>
    <t xml:space="preserve">  📋 DIAGNOZA: Oklejone auto w Warszawie to content sam w sobie. Musisz tylko włączyć kamerę.</t>
  </si>
  <si>
    <t>GV.01</t>
  </si>
  <si>
    <t>PIERWSZY FILM TikTok/Reel</t>
  </si>
  <si>
    <t>60 sek. Hook: 'Naklejam reklamy na auta i płacę za każdy km. Oto jak.' Telefon. Niedoskonały. OPUBLIKOWANY.</t>
  </si>
  <si>
    <t>TikTok + Instagram Reels</t>
  </si>
  <si>
    <t>🔴 ZRÓB DZIŚ</t>
  </si>
  <si>
    <t>GV.02</t>
  </si>
  <si>
    <t>Post LinkedIn — ad-blockery</t>
  </si>
  <si>
    <t>"Dlaczego 42% Polaków nie zobaczy Twojej reklamy na FB." Treść + #reklamawarszawa. Jedno pytanie na końcu.</t>
  </si>
  <si>
    <t>LinkedIn firmowy AdRide</t>
  </si>
  <si>
    <t>GV.03</t>
  </si>
  <si>
    <t>$1.80 Strategy — codziennie</t>
  </si>
  <si>
    <t>🔴 CODZIENNIE</t>
  </si>
  <si>
    <t>9 komentarzy/dzień na #marketingwarszawa #restauracjawarszawa. Wartościowe komentarze — nie 'świetny post!'</t>
  </si>
  <si>
    <t>LinkedIn — 30 min/dzień</t>
  </si>
  <si>
    <t>GV.04</t>
  </si>
  <si>
    <t>5 grup FB Uber/Bolt/Kierowcy</t>
  </si>
  <si>
    <t>Dołącz. Odpowiadaj na pytania 2 tyg. nie sprzedawaj. Potem naturalnie → 'ja robię coś podobnego w AdRide'</t>
  </si>
  <si>
    <t>FB Grupy</t>
  </si>
  <si>
    <t xml:space="preserve">  🎯 JORDAN BELFORT — Sprzedaż &amp; Skrypty</t>
  </si>
  <si>
    <t xml:space="preserve">  "Każda rozmowa: Produkt → Ty → Firma. Wszystkie trzy muszą być 10/10."</t>
  </si>
  <si>
    <t xml:space="preserve">  📋 DIAGNOZA: Masz ofertę i funnel. Teraz potrzebujesz skryptu który zamienia rozmowę w umowę.</t>
  </si>
  <si>
    <t>JB.01</t>
  </si>
  <si>
    <t>Skrypt cold DM LinkedIn</t>
  </si>
  <si>
    <t>🔴 TEN TYDZIEŃ</t>
  </si>
  <si>
    <t>'Prowadzę AdRide — kampanie GPS na autach Warszawa. Mam 3 wolne pojazdy na Mokotowie — czy to obszar który Cię interesuje?' 3 zdania. Mechanizm. Scarcity. Pytanie.</t>
  </si>
  <si>
    <t>LinkedIn DM + cold call</t>
  </si>
  <si>
    <t>JB.02</t>
  </si>
  <si>
    <t>5 odpowiedzi na objekcje</t>
  </si>
  <si>
    <t>1)Za drogo→CPM | 2)Czy działa→gwarancja km | 3)Nie teraz→scarcity | 4)Mam agencję→uzupełnienie | 5)Czy auta jeżdżą→GPS live</t>
  </si>
  <si>
    <t>Dokument Google + skrypt</t>
  </si>
  <si>
    <t>JB.03</t>
  </si>
  <si>
    <t>10 DM LinkedIn dziennie</t>
  </si>
  <si>
    <t>Personalizowane. Właściciele lokalnych firm Warszawa. Cel: umówić 15-min rozmowę. NIE sprzedawać przez DM.</t>
  </si>
  <si>
    <t>LinkedIn — cel: 10/dzień</t>
  </si>
  <si>
    <t>JB.04</t>
  </si>
  <si>
    <t>5 rozmów demo w tygodniu</t>
  </si>
  <si>
    <t>15 min. Problem→GPS→Oferta→CTA. Google Meet + Calendly. Nagrywaj za zgodą. Ucz się z każdej.</t>
  </si>
  <si>
    <t>Google Meet + Calendly</t>
  </si>
  <si>
    <t xml:space="preserve">  📧 DAN KENNEDY — Direct Response</t>
  </si>
  <si>
    <t xml:space="preserve">  "Reklama bez odpowiedzi to strata pieniędzy. Każda komunikacja musi mieć jeden CTA."</t>
  </si>
  <si>
    <t xml:space="preserve">  📋 DIAGNOZA: Outreach musi być direct response — konkretna oferta, konkretna korzyść, konkretna instrukcja CO TERAZ.</t>
  </si>
  <si>
    <t>DK.01</t>
  </si>
  <si>
    <t>Cold email A/B test</t>
  </si>
  <si>
    <t>Temat A: 'Twoje logo na 10 autach w Warszawie'. Temat B: 'Twoja reklama: GPS = każdy km udowodniony'. Max 150 słów. Jeden CTA.</t>
  </si>
  <si>
    <t>Gmail + Calendly link</t>
  </si>
  <si>
    <t>DK.02</t>
  </si>
  <si>
    <t>Wyślij cold email do 10 firm</t>
  </si>
  <si>
    <t>Personalizacja: branża/lokalizacja. Indywidualne emaile. Follow-up +48h.</t>
  </si>
  <si>
    <t>CRM Google Sheets + Gmail</t>
  </si>
  <si>
    <t>DK.03</t>
  </si>
  <si>
    <t>Follow-up sekwencja 3 kontakty</t>
  </si>
  <si>
    <t>Kontakt 1: cold email | +48h: follow-up | +7 dni: wartość (kalkulator) + ostatni CTA</t>
  </si>
  <si>
    <t>Manual tracking w CRM</t>
  </si>
  <si>
    <t>DK.04</t>
  </si>
  <si>
    <t>30 kontaktów B2B tygodniowo</t>
  </si>
  <si>
    <t>15 emaile + 10 DM LinkedIn + 5 cold calls = 30/tydzień. Cardone: 100 kontaktów = 3 klientów. Rób liczby.</t>
  </si>
  <si>
    <t>Apollo.io + LinkedIn + telefon</t>
  </si>
  <si>
    <t xml:space="preserve">  📈 GRANT CARDONE — 10X &amp; Skala</t>
  </si>
  <si>
    <t xml:space="preserve">  "Jedyną różnicą między małą a dużą firmą jest to, że duża nie odpuszcza po 10 odmowach."</t>
  </si>
  <si>
    <t xml:space="preserve">  📋 DIAGNOZA: 100 kontaktów = 3 klientów. 97 odmów to matematyka. Rób 10x więcej niż myślisz że musisz.</t>
  </si>
  <si>
    <t>GC.01</t>
  </si>
  <si>
    <t>Dzienny target: 10–17 kontaktów</t>
  </si>
  <si>
    <t>10 DM LN + 5 cold emaile + 2 cold calls = 17/dzień. Tracking w Pipeline B2B. Cel: 50 kontaktów tydzień 1.</t>
  </si>
  <si>
    <t>Zakładka 💼 PIPELINE B2B</t>
  </si>
  <si>
    <t>GC.02</t>
  </si>
  <si>
    <t>Śniadanie Biznesowe #1 (mies. 2)</t>
  </si>
  <si>
    <t>🟡 FAZA 2</t>
  </si>
  <si>
    <t>15–20 właścicieli lokalnych firm. Coworking Wwa. 90 min. Koszt ~500 zł. ROI: 2–3 klientów = 2–6k/mies. recurring.</t>
  </si>
  <si>
    <t>Brain Embassy / The Heart Wwa</t>
  </si>
  <si>
    <t>GC.03</t>
  </si>
  <si>
    <t>Target rok 1: 100 aktywnych aut</t>
  </si>
  <si>
    <t>🟢 WIZJA</t>
  </si>
  <si>
    <t>Duży cel czyni małe kroki oczywistymi. Tracking tygodniowy w Dashboard.</t>
  </si>
  <si>
    <t>Dashboard → co tydzień</t>
  </si>
  <si>
    <t>GC.04</t>
  </si>
  <si>
    <t>Waitinglist Miasto 2 (Kraków/Wrocław)</t>
  </si>
  <si>
    <t>🟢 FAZA 6</t>
  </si>
  <si>
    <t>Zbieraj od teraz. Każdy kier. spoza Wwy → waitinglist Miasto 2. Otwarcie Q1 2027.</t>
  </si>
  <si>
    <t>Formularz na stronie</t>
  </si>
  <si>
    <t xml:space="preserve">  🦁 TONY ROBBINS — Egzekucja &amp; Nawyki</t>
  </si>
  <si>
    <t xml:space="preserve">  "Nie masz strategii. Masz nawyki — albo ich nie masz."</t>
  </si>
  <si>
    <t xml:space="preserve">  📋 DIAGNOZA: Będą dni gdy 20 wiadomości i 0 odpowiedzi. Właśnie wtedy większość odpuszcza. Rutyna decyduje o wszystkim.</t>
  </si>
  <si>
    <t>TR.01</t>
  </si>
  <si>
    <t>Rutyna dzienna od JUTRA</t>
  </si>
  <si>
    <t>🔴 JUTRO</t>
  </si>
  <si>
    <t>06:30 Priming 10 min | 07:00 Deep Work 2h | 09:00 Operacje 1h | 10:00 Demo/Rozmowy | 13:00 $1.80 30 min | 17:00 Piątkowy przegląd</t>
  </si>
  <si>
    <t>Zakres codzienny — bez wyjątków</t>
  </si>
  <si>
    <t>TR.02</t>
  </si>
  <si>
    <t>Cotygodniowy przegląd — co piątek</t>
  </si>
  <si>
    <t>🔴 CO PIĄTEK</t>
  </si>
  <si>
    <t>3 pytania: Co zadziałało? Co nie? TOP 3 priorytety na przyszły tydzień. MAX 30 min. Bez tego dryfujesz.</t>
  </si>
  <si>
    <t>Dashboard + notatka Docs</t>
  </si>
  <si>
    <t>TR.03</t>
  </si>
  <si>
    <t>5-sekundowa reguła (Robbins)</t>
  </si>
  <si>
    <t>🟠 CODZIENNIE</t>
  </si>
  <si>
    <t>Gdy wahasz się wysłać DM lub zadzwonić: 5-4-3-2-1 → wysyłasz. Nie analizujesz. Impulsja kupuje.</t>
  </si>
  <si>
    <t>Mentalny nawyk</t>
  </si>
  <si>
    <t>TR.04</t>
  </si>
  <si>
    <t>Cotygodniowy check 4 KPI</t>
  </si>
  <si>
    <t>🟠 CO PIĄTEK</t>
  </si>
  <si>
    <t>1)MRR rośnie? 2)Pipeline 10+ leadów? 3)Więcej kier. niż kampanii? 4)50+ kontaktów B2B w tym tyg.? Wszystkie 4✅ = OK.</t>
  </si>
  <si>
    <t>Dashboard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</si>
</sst>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0">
    <font>
      <sz val="11.0"/>
      <color theme="1"/>
      <name val="Calibri"/>
      <scheme val="minor"/>
    </font>
    <font>
      <b/>
      <sz val="14.0"/>
      <color rgb="FFFFFFFF"/>
      <name val="Calibri"/>
    </font>
    <font/>
    <font>
      <b/>
      <sz val="10.0"/>
      <color rgb="FFFFFFFF"/>
      <name val="Calibri"/>
    </font>
    <font>
      <b/>
      <sz val="11.0"/>
      <color rgb="FFFFFFFF"/>
      <name val="Calibri"/>
    </font>
    <font>
      <sz val="9.0"/>
      <color rgb="FF000000"/>
      <name val="Calibri"/>
    </font>
    <font>
      <b/>
      <sz val="9.0"/>
      <color rgb="FF0D47A1"/>
      <name val="Calibri"/>
    </font>
    <font>
      <sz val="9.0"/>
      <color theme="1"/>
      <name val="Calibri"/>
    </font>
    <font>
      <b/>
      <sz val="9.0"/>
      <color rgb="FF000000"/>
      <name val="Calibri"/>
    </font>
    <font>
      <b/>
      <sz val="9.0"/>
      <color rgb="FF1B5E20"/>
      <name val="Calibri"/>
    </font>
    <font>
      <b/>
      <sz val="13.0"/>
      <color rgb="FFFFFFFF"/>
      <name val="Calibri"/>
    </font>
    <font>
      <i/>
      <sz val="10.0"/>
      <color rgb="FFFFFFFF"/>
      <name val="Calibri"/>
    </font>
    <font>
      <b/>
      <sz val="10.0"/>
      <color theme="1"/>
      <name val="Calibri"/>
    </font>
    <font>
      <sz val="10.0"/>
      <color theme="1"/>
      <name val="Calibri"/>
    </font>
    <font>
      <b/>
      <sz val="10.0"/>
      <color rgb="FFE65100"/>
      <name val="Calibri"/>
    </font>
    <font>
      <b/>
      <sz val="9.0"/>
      <color theme="1"/>
      <name val="Calibri"/>
    </font>
    <font>
      <b/>
      <sz val="9.0"/>
      <color rgb="FF7B3F00"/>
      <name val="Calibri"/>
    </font>
    <font>
      <b/>
      <sz val="9.0"/>
      <color rgb="FF1F3864"/>
      <name val="Calibri"/>
    </font>
    <font>
      <sz val="9.0"/>
      <color rgb="FF0563C1"/>
      <name val="Calibri"/>
    </font>
    <font>
      <sz val="9.0"/>
      <color rgb="FF1B5E20"/>
      <name val="Calibri"/>
    </font>
    <font>
      <u/>
      <sz val="9.0"/>
      <color rgb="FF0000FF"/>
      <name val="Calibri"/>
    </font>
    <font>
      <b/>
      <sz val="12.0"/>
      <color rgb="FFFFFFFF"/>
      <name val="Calibri"/>
    </font>
    <font>
      <sz val="9.0"/>
      <color rgb="FF1A237E"/>
      <name val="Calibri"/>
    </font>
    <font>
      <sz val="11.0"/>
      <color theme="1"/>
      <name val="Calibri"/>
    </font>
    <font>
      <i/>
      <sz val="9.0"/>
      <color rgb="FFAAAAAA"/>
      <name val="Calibri"/>
    </font>
    <font>
      <i/>
      <sz val="9.0"/>
      <color rgb="FFFFFFFF"/>
      <name val="Calibri"/>
    </font>
    <font>
      <sz val="9.0"/>
      <color rgb="FF1A1A2E"/>
      <name val="Calibri"/>
    </font>
    <font>
      <b/>
      <sz val="9.0"/>
      <color rgb="FFFFFFFF"/>
      <name val="Calibri"/>
    </font>
    <font>
      <b/>
      <color rgb="FF6C3483"/>
      <name val="Calibri"/>
    </font>
    <font>
      <sz val="8.0"/>
      <color rgb="FF555555"/>
      <name val="Calibri"/>
    </font>
    <font>
      <b/>
      <color rgb="FF1A1A2E"/>
      <name val="Calibri"/>
    </font>
    <font>
      <b/>
      <sz val="9.0"/>
      <color rgb="FF922B21"/>
      <name val="Calibri"/>
    </font>
    <font>
      <i/>
      <sz val="9.0"/>
      <color rgb="FF555555"/>
      <name val="Calibri"/>
    </font>
    <font>
      <b/>
      <sz val="9.0"/>
      <color rgb="FF1A1A2E"/>
      <name val="Calibri"/>
    </font>
    <font>
      <b/>
      <color rgb="FF1A5276"/>
      <name val="Calibri"/>
    </font>
    <font>
      <b/>
      <color rgb="FF1A6B3A"/>
      <name val="Calibri"/>
    </font>
    <font>
      <b/>
      <color rgb="FF0A3D62"/>
      <name val="Calibri"/>
    </font>
    <font>
      <b/>
      <color rgb="FF7D6608"/>
      <name val="Calibri"/>
    </font>
    <font>
      <b/>
      <color rgb="FF6E2F1A"/>
      <name val="Calibri"/>
    </font>
    <font>
      <b/>
      <color rgb="FF1A4A80"/>
      <name val="Calibri"/>
    </font>
  </fonts>
  <fills count="3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F5597"/>
        <bgColor rgb="FF2F5597"/>
      </patternFill>
    </fill>
    <fill>
      <patternFill patternType="solid">
        <fgColor rgb="FF1565C0"/>
        <bgColor rgb="FF1565C0"/>
      </patternFill>
    </fill>
    <fill>
      <patternFill patternType="solid">
        <fgColor rgb="FFF0F4FF"/>
        <bgColor rgb="FFF0F4FF"/>
      </patternFill>
    </fill>
    <fill>
      <patternFill patternType="solid">
        <fgColor rgb="FF1E88E5"/>
        <bgColor rgb="FF1E88E5"/>
      </patternFill>
    </fill>
    <fill>
      <patternFill patternType="solid">
        <fgColor rgb="FFF8FAFF"/>
        <bgColor rgb="FFF8FAFF"/>
      </patternFill>
    </fill>
    <fill>
      <patternFill patternType="solid">
        <fgColor rgb="FFFFFFFF"/>
        <bgColor rgb="FFFFFFFF"/>
      </patternFill>
    </fill>
    <fill>
      <patternFill patternType="solid">
        <fgColor rgb="FFF1F8E9"/>
        <bgColor rgb="FFF1F8E9"/>
      </patternFill>
    </fill>
    <fill>
      <patternFill patternType="solid">
        <fgColor rgb="FF455A64"/>
        <bgColor rgb="FF455A64"/>
      </patternFill>
    </fill>
    <fill>
      <patternFill patternType="solid">
        <fgColor rgb="FFECEFF1"/>
        <bgColor rgb="FFECEFF1"/>
      </patternFill>
    </fill>
    <fill>
      <patternFill patternType="solid">
        <fgColor rgb="FFF5F8FF"/>
        <bgColor rgb="FFF5F8FF"/>
      </patternFill>
    </fill>
    <fill>
      <patternFill patternType="solid">
        <fgColor rgb="FFFFF8E1"/>
        <bgColor rgb="FFFFF8E1"/>
      </patternFill>
    </fill>
    <fill>
      <patternFill patternType="solid">
        <fgColor rgb="FFE8F5E9"/>
        <bgColor rgb="FFE8F5E9"/>
      </patternFill>
    </fill>
    <fill>
      <patternFill patternType="solid">
        <fgColor rgb="FFFFEBEE"/>
        <bgColor rgb="FFFFEBEE"/>
      </patternFill>
    </fill>
    <fill>
      <patternFill patternType="solid">
        <fgColor rgb="FFF5F5F5"/>
        <bgColor rgb="FFF5F5F5"/>
      </patternFill>
    </fill>
    <fill>
      <patternFill patternType="solid">
        <fgColor rgb="FF2E7D32"/>
        <bgColor rgb="FF2E7D32"/>
      </patternFill>
    </fill>
    <fill>
      <patternFill patternType="solid">
        <fgColor rgb="FF0D47A1"/>
        <bgColor rgb="FF0D47A1"/>
      </patternFill>
    </fill>
    <fill>
      <patternFill patternType="solid">
        <fgColor rgb="FFFFF9C4"/>
        <bgColor rgb="FFFFF9C4"/>
      </patternFill>
    </fill>
    <fill>
      <patternFill patternType="solid">
        <fgColor rgb="FF4A6FA5"/>
        <bgColor rgb="FF4A6FA5"/>
      </patternFill>
    </fill>
    <fill>
      <patternFill patternType="solid">
        <fgColor rgb="FFE3F2FD"/>
        <bgColor rgb="FFE3F2FD"/>
      </patternFill>
    </fill>
    <fill>
      <patternFill patternType="solid">
        <fgColor rgb="FF1B5E20"/>
        <bgColor rgb="FF1B5E20"/>
      </patternFill>
    </fill>
    <fill>
      <patternFill patternType="solid">
        <fgColor rgb="FF43A047"/>
        <bgColor rgb="FF43A047"/>
      </patternFill>
    </fill>
    <fill>
      <patternFill patternType="solid">
        <fgColor rgb="FFEEF2FF"/>
        <bgColor rgb="FFEEF2FF"/>
      </patternFill>
    </fill>
    <fill>
      <patternFill patternType="solid">
        <fgColor rgb="FF1A1A2E"/>
        <bgColor rgb="FF1A1A2E"/>
      </patternFill>
    </fill>
    <fill>
      <patternFill patternType="solid">
        <fgColor rgb="FF6C3483"/>
        <bgColor rgb="FF6C3483"/>
      </patternFill>
    </fill>
    <fill>
      <patternFill patternType="solid">
        <fgColor rgb="FFF8F9FA"/>
        <bgColor rgb="FFF8F9FA"/>
      </patternFill>
    </fill>
    <fill>
      <patternFill patternType="solid">
        <fgColor rgb="FFFDFEFE"/>
        <bgColor rgb="FFFDFEFE"/>
      </patternFill>
    </fill>
    <fill>
      <patternFill patternType="solid">
        <fgColor rgb="FF1A5276"/>
        <bgColor rgb="FF1A5276"/>
      </patternFill>
    </fill>
    <fill>
      <patternFill patternType="solid">
        <fgColor rgb="FF1A6B3A"/>
        <bgColor rgb="FF1A6B3A"/>
      </patternFill>
    </fill>
    <fill>
      <patternFill patternType="solid">
        <fgColor rgb="FF0A3D62"/>
        <bgColor rgb="FF0A3D62"/>
      </patternFill>
    </fill>
    <fill>
      <patternFill patternType="solid">
        <fgColor rgb="FF7D6608"/>
        <bgColor rgb="FF7D6608"/>
      </patternFill>
    </fill>
    <fill>
      <patternFill patternType="solid">
        <fgColor rgb="FF6E2F1A"/>
        <bgColor rgb="FF6E2F1A"/>
      </patternFill>
    </fill>
    <fill>
      <patternFill patternType="solid">
        <fgColor rgb="FF1A4A80"/>
        <bgColor rgb="FF1A4A80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1"/>
    </xf>
    <xf borderId="1" fillId="4" fontId="4" numFmtId="0" xfId="0" applyAlignment="1" applyBorder="1" applyFill="1" applyFont="1">
      <alignment horizontal="left" shrinkToFit="0" vertical="center" wrapText="1"/>
    </xf>
    <xf borderId="1" fillId="5" fontId="5" numFmtId="0" xfId="0" applyAlignment="1" applyBorder="1" applyFill="1" applyFont="1">
      <alignment horizontal="left" shrinkToFit="0" vertical="top" wrapText="1"/>
    </xf>
    <xf borderId="4" fillId="6" fontId="3" numFmtId="0" xfId="0" applyAlignment="1" applyBorder="1" applyFill="1" applyFont="1">
      <alignment horizontal="center" vertical="center"/>
    </xf>
    <xf borderId="4" fillId="7" fontId="6" numFmtId="0" xfId="0" applyAlignment="1" applyBorder="1" applyFill="1" applyFont="1">
      <alignment horizontal="left" shrinkToFit="0" vertical="top" wrapText="1"/>
    </xf>
    <xf borderId="4" fillId="7" fontId="7" numFmtId="0" xfId="0" applyAlignment="1" applyBorder="1" applyFont="1">
      <alignment horizontal="left" shrinkToFit="0" vertical="top" wrapText="1"/>
    </xf>
    <xf borderId="4" fillId="7" fontId="8" numFmtId="0" xfId="0" applyAlignment="1" applyBorder="1" applyFont="1">
      <alignment horizontal="center" shrinkToFit="0" vertical="top" wrapText="1"/>
    </xf>
    <xf borderId="4" fillId="8" fontId="6" numFmtId="0" xfId="0" applyAlignment="1" applyBorder="1" applyFill="1" applyFont="1">
      <alignment horizontal="left" shrinkToFit="0" vertical="top" wrapText="1"/>
    </xf>
    <xf borderId="4" fillId="8" fontId="7" numFmtId="0" xfId="0" applyAlignment="1" applyBorder="1" applyFont="1">
      <alignment horizontal="left" shrinkToFit="0" vertical="top" wrapText="1"/>
    </xf>
    <xf borderId="4" fillId="8" fontId="8" numFmtId="0" xfId="0" applyAlignment="1" applyBorder="1" applyFont="1">
      <alignment horizontal="center" shrinkToFit="0" vertical="top" wrapText="1"/>
    </xf>
    <xf borderId="4" fillId="9" fontId="9" numFmtId="0" xfId="0" applyAlignment="1" applyBorder="1" applyFill="1" applyFont="1">
      <alignment horizontal="left" shrinkToFit="0" vertical="top" wrapText="1"/>
    </xf>
    <xf borderId="4" fillId="9" fontId="7" numFmtId="0" xfId="0" applyAlignment="1" applyBorder="1" applyFont="1">
      <alignment horizontal="left" shrinkToFit="0" vertical="top" wrapText="1"/>
    </xf>
    <xf borderId="4" fillId="9" fontId="9" numFmtId="0" xfId="0" applyAlignment="1" applyBorder="1" applyFont="1">
      <alignment horizontal="center" shrinkToFit="0" vertical="top" wrapText="1"/>
    </xf>
    <xf borderId="1" fillId="10" fontId="4" numFmtId="0" xfId="0" applyAlignment="1" applyBorder="1" applyFill="1" applyFont="1">
      <alignment horizontal="left" shrinkToFit="0" vertical="center" wrapText="1"/>
    </xf>
    <xf borderId="1" fillId="11" fontId="5" numFmtId="0" xfId="0" applyAlignment="1" applyBorder="1" applyFill="1" applyFont="1">
      <alignment horizontal="left" shrinkToFit="0" vertical="top" wrapText="1"/>
    </xf>
    <xf borderId="1" fillId="2" fontId="10" numFmtId="0" xfId="0" applyAlignment="1" applyBorder="1" applyFont="1">
      <alignment horizontal="left" vertical="center"/>
    </xf>
    <xf borderId="1" fillId="3" fontId="11" numFmtId="0" xfId="0" applyAlignment="1" applyBorder="1" applyFont="1">
      <alignment horizontal="left" vertical="center"/>
    </xf>
    <xf borderId="1" fillId="4" fontId="4" numFmtId="0" xfId="0" applyAlignment="1" applyBorder="1" applyFont="1">
      <alignment horizontal="left" vertical="center"/>
    </xf>
    <xf borderId="4" fillId="2" fontId="3" numFmtId="0" xfId="0" applyAlignment="1" applyBorder="1" applyFont="1">
      <alignment horizontal="center" vertical="center"/>
    </xf>
    <xf borderId="4" fillId="12" fontId="12" numFmtId="0" xfId="0" applyAlignment="1" applyBorder="1" applyFill="1" applyFont="1">
      <alignment horizontal="center" vertical="center"/>
    </xf>
    <xf borderId="4" fillId="12" fontId="13" numFmtId="0" xfId="0" applyAlignment="1" applyBorder="1" applyFont="1">
      <alignment horizontal="left" vertical="center"/>
    </xf>
    <xf borderId="4" fillId="12" fontId="13" numFmtId="0" xfId="0" applyAlignment="1" applyBorder="1" applyFont="1">
      <alignment horizontal="center" vertical="center"/>
    </xf>
    <xf borderId="4" fillId="12" fontId="13" numFmtId="9" xfId="0" applyAlignment="1" applyBorder="1" applyFont="1" applyNumberFormat="1">
      <alignment horizontal="center" vertical="center"/>
    </xf>
    <xf borderId="4" fillId="12" fontId="14" numFmtId="0" xfId="0" applyAlignment="1" applyBorder="1" applyFont="1">
      <alignment horizontal="center" vertical="center"/>
    </xf>
    <xf borderId="4" fillId="8" fontId="12" numFmtId="0" xfId="0" applyAlignment="1" applyBorder="1" applyFont="1">
      <alignment horizontal="center" vertical="center"/>
    </xf>
    <xf borderId="4" fillId="8" fontId="13" numFmtId="0" xfId="0" applyAlignment="1" applyBorder="1" applyFont="1">
      <alignment horizontal="left" vertical="center"/>
    </xf>
    <xf borderId="4" fillId="8" fontId="13" numFmtId="0" xfId="0" applyAlignment="1" applyBorder="1" applyFont="1">
      <alignment horizontal="center" vertical="center"/>
    </xf>
    <xf borderId="4" fillId="8" fontId="13" numFmtId="9" xfId="0" applyAlignment="1" applyBorder="1" applyFont="1" applyNumberFormat="1">
      <alignment horizontal="center" vertical="center"/>
    </xf>
    <xf borderId="4" fillId="8" fontId="14" numFmtId="0" xfId="0" applyAlignment="1" applyBorder="1" applyFont="1">
      <alignment horizontal="center" vertical="center"/>
    </xf>
    <xf borderId="4" fillId="12" fontId="15" numFmtId="0" xfId="0" applyAlignment="1" applyBorder="1" applyFont="1">
      <alignment horizontal="center" shrinkToFit="0" vertical="center" wrapText="1"/>
    </xf>
    <xf borderId="5" fillId="12" fontId="7" numFmtId="0" xfId="0" applyAlignment="1" applyBorder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12" fontId="7" numFmtId="0" xfId="0" applyAlignment="1" applyBorder="1" applyFont="1">
      <alignment horizontal="center" shrinkToFit="0" vertical="center" wrapText="1"/>
    </xf>
    <xf borderId="4" fillId="8" fontId="15" numFmtId="0" xfId="0" applyAlignment="1" applyBorder="1" applyFont="1">
      <alignment horizontal="center" shrinkToFit="0" vertical="center" wrapText="1"/>
    </xf>
    <xf borderId="5" fillId="8" fontId="7" numFmtId="0" xfId="0" applyAlignment="1" applyBorder="1" applyFont="1">
      <alignment horizontal="left" shrinkToFit="0" vertical="center" wrapText="1"/>
    </xf>
    <xf borderId="4" fillId="8" fontId="7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left" vertical="center"/>
    </xf>
    <xf borderId="0" fillId="0" fontId="12" numFmtId="0" xfId="0" applyAlignment="1" applyFont="1">
      <alignment shrinkToFit="0" vertical="top" wrapText="1"/>
    </xf>
    <xf borderId="8" fillId="8" fontId="13" numFmtId="0" xfId="0" applyAlignment="1" applyBorder="1" applyFont="1">
      <alignment shrinkToFit="0" vertical="top" wrapText="1"/>
    </xf>
    <xf borderId="8" fillId="13" fontId="13" numFmtId="0" xfId="0" applyAlignment="1" applyBorder="1" applyFill="1" applyFont="1">
      <alignment shrinkToFit="0" vertical="top" wrapText="1"/>
    </xf>
    <xf borderId="8" fillId="14" fontId="13" numFmtId="0" xfId="0" applyAlignment="1" applyBorder="1" applyFill="1" applyFont="1">
      <alignment shrinkToFit="0" vertical="top" wrapText="1"/>
    </xf>
    <xf borderId="8" fillId="15" fontId="13" numFmtId="0" xfId="0" applyAlignment="1" applyBorder="1" applyFill="1" applyFont="1">
      <alignment shrinkToFit="0" vertical="top" wrapText="1"/>
    </xf>
    <xf borderId="8" fillId="16" fontId="13" numFmtId="0" xfId="0" applyAlignment="1" applyBorder="1" applyFill="1" applyFont="1">
      <alignment shrinkToFit="0" vertical="top" wrapText="1"/>
    </xf>
    <xf borderId="0" fillId="0" fontId="13" numFmtId="0" xfId="0" applyAlignment="1" applyFont="1">
      <alignment shrinkToFit="0" vertical="top" wrapText="1"/>
    </xf>
    <xf borderId="1" fillId="17" fontId="4" numFmtId="0" xfId="0" applyAlignment="1" applyBorder="1" applyFill="1" applyFont="1">
      <alignment horizontal="left" vertical="center"/>
    </xf>
    <xf borderId="1" fillId="18" fontId="4" numFmtId="0" xfId="0" applyAlignment="1" applyBorder="1" applyFill="1" applyFont="1">
      <alignment horizontal="left" vertical="center"/>
    </xf>
    <xf borderId="1" fillId="19" fontId="16" numFmtId="0" xfId="0" applyAlignment="1" applyBorder="1" applyFill="1" applyFont="1">
      <alignment horizontal="left" shrinkToFit="0" vertical="center" wrapText="1"/>
    </xf>
    <xf borderId="4" fillId="2" fontId="3" numFmtId="0" xfId="0" applyAlignment="1" applyBorder="1" applyFont="1">
      <alignment horizontal="center" shrinkToFit="0" vertical="center" wrapText="1"/>
    </xf>
    <xf borderId="4" fillId="17" fontId="3" numFmtId="0" xfId="0" applyAlignment="1" applyBorder="1" applyFont="1">
      <alignment horizontal="center" shrinkToFit="0" vertical="center" wrapText="1"/>
    </xf>
    <xf borderId="1" fillId="20" fontId="3" numFmtId="0" xfId="0" applyAlignment="1" applyBorder="1" applyFill="1" applyFont="1">
      <alignment horizontal="left" vertical="center"/>
    </xf>
    <xf borderId="4" fillId="14" fontId="17" numFmtId="0" xfId="0" applyAlignment="1" applyBorder="1" applyFont="1">
      <alignment horizontal="center" vertical="top"/>
    </xf>
    <xf borderId="4" fillId="14" fontId="12" numFmtId="0" xfId="0" applyAlignment="1" applyBorder="1" applyFont="1">
      <alignment shrinkToFit="0" vertical="top" wrapText="1"/>
    </xf>
    <xf borderId="4" fillId="14" fontId="7" numFmtId="0" xfId="0" applyAlignment="1" applyBorder="1" applyFont="1">
      <alignment shrinkToFit="0" vertical="top" wrapText="1"/>
    </xf>
    <xf borderId="4" fillId="14" fontId="7" numFmtId="0" xfId="0" applyAlignment="1" applyBorder="1" applyFont="1">
      <alignment horizontal="center" shrinkToFit="0" vertical="top" wrapText="1"/>
    </xf>
    <xf borderId="4" fillId="14" fontId="15" numFmtId="0" xfId="0" applyAlignment="1" applyBorder="1" applyFont="1">
      <alignment horizontal="center" vertical="top"/>
    </xf>
    <xf borderId="4" fillId="14" fontId="7" numFmtId="0" xfId="0" applyAlignment="1" applyBorder="1" applyFont="1">
      <alignment horizontal="center" vertical="top"/>
    </xf>
    <xf borderId="4" fillId="14" fontId="18" numFmtId="0" xfId="0" applyAlignment="1" applyBorder="1" applyFont="1">
      <alignment shrinkToFit="0" vertical="top" wrapText="1"/>
    </xf>
    <xf borderId="4" fillId="14" fontId="13" numFmtId="3" xfId="0" applyAlignment="1" applyBorder="1" applyFont="1" applyNumberFormat="1">
      <alignment horizontal="center" vertical="top"/>
    </xf>
    <xf borderId="4" fillId="9" fontId="19" numFmtId="0" xfId="0" applyAlignment="1" applyBorder="1" applyFont="1">
      <alignment shrinkToFit="0" vertical="top" wrapText="1"/>
    </xf>
    <xf borderId="4" fillId="13" fontId="17" numFmtId="0" xfId="0" applyAlignment="1" applyBorder="1" applyFont="1">
      <alignment horizontal="center" vertical="top"/>
    </xf>
    <xf borderId="4" fillId="13" fontId="12" numFmtId="0" xfId="0" applyAlignment="1" applyBorder="1" applyFont="1">
      <alignment shrinkToFit="0" vertical="top" wrapText="1"/>
    </xf>
    <xf borderId="4" fillId="13" fontId="7" numFmtId="0" xfId="0" applyAlignment="1" applyBorder="1" applyFont="1">
      <alignment shrinkToFit="0" vertical="top" wrapText="1"/>
    </xf>
    <xf borderId="4" fillId="13" fontId="7" numFmtId="0" xfId="0" applyAlignment="1" applyBorder="1" applyFont="1">
      <alignment horizontal="center" shrinkToFit="0" vertical="top" wrapText="1"/>
    </xf>
    <xf borderId="4" fillId="13" fontId="15" numFmtId="0" xfId="0" applyAlignment="1" applyBorder="1" applyFont="1">
      <alignment horizontal="center" vertical="top"/>
    </xf>
    <xf borderId="4" fillId="13" fontId="7" numFmtId="0" xfId="0" applyAlignment="1" applyBorder="1" applyFont="1">
      <alignment horizontal="center" vertical="top"/>
    </xf>
    <xf borderId="4" fillId="13" fontId="18" numFmtId="0" xfId="0" applyAlignment="1" applyBorder="1" applyFont="1">
      <alignment shrinkToFit="0" vertical="top" wrapText="1"/>
    </xf>
    <xf borderId="4" fillId="13" fontId="13" numFmtId="3" xfId="0" applyAlignment="1" applyBorder="1" applyFont="1" applyNumberFormat="1">
      <alignment horizontal="center" vertical="top"/>
    </xf>
    <xf borderId="4" fillId="8" fontId="17" numFmtId="0" xfId="0" applyAlignment="1" applyBorder="1" applyFont="1">
      <alignment horizontal="center" vertical="top"/>
    </xf>
    <xf borderId="4" fillId="8" fontId="12" numFmtId="0" xfId="0" applyAlignment="1" applyBorder="1" applyFont="1">
      <alignment shrinkToFit="0" vertical="top" wrapText="1"/>
    </xf>
    <xf borderId="4" fillId="8" fontId="7" numFmtId="0" xfId="0" applyAlignment="1" applyBorder="1" applyFont="1">
      <alignment shrinkToFit="0" vertical="top" wrapText="1"/>
    </xf>
    <xf borderId="4" fillId="8" fontId="7" numFmtId="0" xfId="0" applyAlignment="1" applyBorder="1" applyFont="1">
      <alignment horizontal="center" shrinkToFit="0" vertical="top" wrapText="1"/>
    </xf>
    <xf borderId="4" fillId="8" fontId="15" numFmtId="0" xfId="0" applyAlignment="1" applyBorder="1" applyFont="1">
      <alignment horizontal="center" vertical="top"/>
    </xf>
    <xf borderId="4" fillId="8" fontId="7" numFmtId="0" xfId="0" applyAlignment="1" applyBorder="1" applyFont="1">
      <alignment horizontal="center" vertical="top"/>
    </xf>
    <xf borderId="4" fillId="8" fontId="18" numFmtId="0" xfId="0" applyAlignment="1" applyBorder="1" applyFont="1">
      <alignment shrinkToFit="0" vertical="top" wrapText="1"/>
    </xf>
    <xf borderId="4" fillId="8" fontId="13" numFmtId="3" xfId="0" applyAlignment="1" applyBorder="1" applyFont="1" applyNumberFormat="1">
      <alignment horizontal="center" vertical="top"/>
    </xf>
    <xf borderId="4" fillId="12" fontId="17" numFmtId="0" xfId="0" applyAlignment="1" applyBorder="1" applyFont="1">
      <alignment horizontal="center" vertical="top"/>
    </xf>
    <xf borderId="4" fillId="12" fontId="12" numFmtId="0" xfId="0" applyAlignment="1" applyBorder="1" applyFont="1">
      <alignment shrinkToFit="0" vertical="top" wrapText="1"/>
    </xf>
    <xf borderId="4" fillId="12" fontId="7" numFmtId="0" xfId="0" applyAlignment="1" applyBorder="1" applyFont="1">
      <alignment shrinkToFit="0" vertical="top" wrapText="1"/>
    </xf>
    <xf borderId="4" fillId="12" fontId="7" numFmtId="0" xfId="0" applyAlignment="1" applyBorder="1" applyFont="1">
      <alignment horizontal="center" shrinkToFit="0" vertical="top" wrapText="1"/>
    </xf>
    <xf borderId="4" fillId="12" fontId="15" numFmtId="0" xfId="0" applyAlignment="1" applyBorder="1" applyFont="1">
      <alignment horizontal="center" vertical="top"/>
    </xf>
    <xf borderId="4" fillId="12" fontId="7" numFmtId="0" xfId="0" applyAlignment="1" applyBorder="1" applyFont="1">
      <alignment horizontal="center" vertical="top"/>
    </xf>
    <xf borderId="4" fillId="12" fontId="18" numFmtId="0" xfId="0" applyAlignment="1" applyBorder="1" applyFont="1">
      <alignment shrinkToFit="0" vertical="top" wrapText="1"/>
    </xf>
    <xf borderId="4" fillId="12" fontId="13" numFmtId="3" xfId="0" applyAlignment="1" applyBorder="1" applyFont="1" applyNumberFormat="1">
      <alignment horizontal="center" vertical="top"/>
    </xf>
    <xf borderId="4" fillId="14" fontId="20" numFmtId="0" xfId="0" applyAlignment="1" applyBorder="1" applyFont="1">
      <alignment readingOrder="0" shrinkToFit="0" vertical="top" wrapText="1"/>
    </xf>
    <xf borderId="1" fillId="18" fontId="10" numFmtId="0" xfId="0" applyAlignment="1" applyBorder="1" applyFont="1">
      <alignment horizontal="left" vertical="center"/>
    </xf>
    <xf borderId="1" fillId="4" fontId="11" numFmtId="0" xfId="0" applyAlignment="1" applyBorder="1" applyFont="1">
      <alignment horizontal="left" vertical="center"/>
    </xf>
    <xf borderId="1" fillId="18" fontId="21" numFmtId="0" xfId="0" applyAlignment="1" applyBorder="1" applyFont="1">
      <alignment horizontal="left" vertical="center"/>
    </xf>
    <xf borderId="1" fillId="21" fontId="5" numFmtId="0" xfId="0" applyAlignment="1" applyBorder="1" applyFill="1" applyFont="1">
      <alignment horizontal="left" shrinkToFit="0" vertical="top" wrapText="1"/>
    </xf>
    <xf borderId="8" fillId="6" fontId="3" numFmtId="0" xfId="0" applyAlignment="1" applyBorder="1" applyFont="1">
      <alignment horizontal="center" shrinkToFit="0" vertical="center" wrapText="1"/>
    </xf>
    <xf borderId="4" fillId="12" fontId="6" numFmtId="0" xfId="0" applyAlignment="1" applyBorder="1" applyFont="1">
      <alignment horizontal="center" vertical="top"/>
    </xf>
    <xf borderId="4" fillId="12" fontId="15" numFmtId="0" xfId="0" applyAlignment="1" applyBorder="1" applyFont="1">
      <alignment shrinkToFit="0" vertical="top" wrapText="1"/>
    </xf>
    <xf borderId="4" fillId="12" fontId="13" numFmtId="0" xfId="0" applyAlignment="1" applyBorder="1" applyFont="1">
      <alignment horizontal="center" vertical="top"/>
    </xf>
    <xf borderId="4" fillId="8" fontId="6" numFmtId="0" xfId="0" applyAlignment="1" applyBorder="1" applyFont="1">
      <alignment horizontal="center" vertical="top"/>
    </xf>
    <xf borderId="4" fillId="8" fontId="15" numFmtId="0" xfId="0" applyAlignment="1" applyBorder="1" applyFont="1">
      <alignment shrinkToFit="0" vertical="top" wrapText="1"/>
    </xf>
    <xf borderId="4" fillId="8" fontId="13" numFmtId="0" xfId="0" applyAlignment="1" applyBorder="1" applyFont="1">
      <alignment horizontal="center" vertical="top"/>
    </xf>
    <xf borderId="1" fillId="13" fontId="5" numFmtId="0" xfId="0" applyAlignment="1" applyBorder="1" applyFont="1">
      <alignment horizontal="left" shrinkToFit="0" vertical="top" wrapText="1"/>
    </xf>
    <xf borderId="4" fillId="8" fontId="12" numFmtId="0" xfId="0" applyAlignment="1" applyBorder="1" applyFont="1">
      <alignment readingOrder="0" shrinkToFit="0" vertical="top" wrapText="1"/>
    </xf>
    <xf borderId="4" fillId="14" fontId="15" numFmtId="0" xfId="0" applyAlignment="1" applyBorder="1" applyFont="1">
      <alignment horizontal="center" readingOrder="0" vertical="top"/>
    </xf>
    <xf borderId="1" fillId="22" fontId="10" numFmtId="0" xfId="0" applyAlignment="1" applyBorder="1" applyFill="1" applyFont="1">
      <alignment horizontal="left" vertical="center"/>
    </xf>
    <xf borderId="1" fillId="17" fontId="11" numFmtId="0" xfId="0" applyAlignment="1" applyBorder="1" applyFont="1">
      <alignment horizontal="left" vertical="center"/>
    </xf>
    <xf borderId="4" fillId="23" fontId="3" numFmtId="0" xfId="0" applyAlignment="1" applyBorder="1" applyFill="1" applyFont="1">
      <alignment horizontal="center" shrinkToFit="0" vertical="center" wrapText="1"/>
    </xf>
    <xf borderId="4" fillId="9" fontId="9" numFmtId="0" xfId="0" applyAlignment="1" applyBorder="1" applyFont="1">
      <alignment horizontal="center" vertical="top"/>
    </xf>
    <xf borderId="4" fillId="9" fontId="15" numFmtId="0" xfId="0" applyAlignment="1" applyBorder="1" applyFont="1">
      <alignment horizontal="left" shrinkToFit="0" vertical="top" wrapText="1"/>
    </xf>
    <xf borderId="4" fillId="24" fontId="22" numFmtId="0" xfId="0" applyAlignment="1" applyBorder="1" applyFill="1" applyFont="1">
      <alignment horizontal="left" shrinkToFit="0" vertical="top" wrapText="1"/>
    </xf>
    <xf borderId="4" fillId="9" fontId="7" numFmtId="0" xfId="0" applyAlignment="1" applyBorder="1" applyFont="1">
      <alignment horizontal="center" vertical="top"/>
    </xf>
    <xf borderId="4" fillId="9" fontId="12" numFmtId="0" xfId="0" applyAlignment="1" applyBorder="1" applyFont="1">
      <alignment horizontal="center" vertical="top"/>
    </xf>
    <xf borderId="4" fillId="8" fontId="9" numFmtId="0" xfId="0" applyAlignment="1" applyBorder="1" applyFont="1">
      <alignment horizontal="center" vertical="top"/>
    </xf>
    <xf borderId="4" fillId="8" fontId="15" numFmtId="0" xfId="0" applyAlignment="1" applyBorder="1" applyFont="1">
      <alignment horizontal="left" shrinkToFit="0" vertical="top" wrapText="1"/>
    </xf>
    <xf borderId="4" fillId="8" fontId="12" numFmtId="0" xfId="0" applyAlignment="1" applyBorder="1" applyFont="1">
      <alignment horizontal="center" vertical="top"/>
    </xf>
    <xf borderId="1" fillId="25" fontId="1" numFmtId="0" xfId="0" applyAlignment="1" applyBorder="1" applyFill="1" applyFont="1">
      <alignment horizontal="center"/>
    </xf>
    <xf borderId="0" fillId="0" fontId="23" numFmtId="0" xfId="0" applyAlignment="1" applyFont="1">
      <alignment vertical="bottom"/>
    </xf>
    <xf borderId="1" fillId="25" fontId="24" numFmtId="0" xfId="0" applyAlignment="1" applyBorder="1" applyFont="1">
      <alignment horizontal="center"/>
    </xf>
    <xf borderId="1" fillId="26" fontId="4" numFmtId="0" xfId="0" applyBorder="1" applyFill="1" applyFont="1"/>
    <xf borderId="1" fillId="26" fontId="25" numFmtId="0" xfId="0" applyBorder="1" applyFont="1"/>
    <xf borderId="1" fillId="27" fontId="26" numFmtId="0" xfId="0" applyAlignment="1" applyBorder="1" applyFill="1" applyFont="1">
      <alignment shrinkToFit="0" wrapText="1"/>
    </xf>
    <xf borderId="9" fillId="26" fontId="27" numFmtId="0" xfId="0" applyAlignment="1" applyBorder="1" applyFont="1">
      <alignment horizontal="center" shrinkToFit="0" wrapText="1"/>
    </xf>
    <xf borderId="9" fillId="28" fontId="28" numFmtId="0" xfId="0" applyAlignment="1" applyBorder="1" applyFill="1" applyFont="1">
      <alignment horizontal="center"/>
    </xf>
    <xf borderId="9" fillId="28" fontId="29" numFmtId="0" xfId="0" applyAlignment="1" applyBorder="1" applyFont="1">
      <alignment horizontal="center"/>
    </xf>
    <xf borderId="9" fillId="28" fontId="30" numFmtId="0" xfId="0" applyAlignment="1" applyBorder="1" applyFont="1">
      <alignment shrinkToFit="0" wrapText="1"/>
    </xf>
    <xf borderId="9" fillId="28" fontId="31" numFmtId="0" xfId="0" applyAlignment="1" applyBorder="1" applyFont="1">
      <alignment horizontal="center" shrinkToFit="0" wrapText="1"/>
    </xf>
    <xf borderId="9" fillId="28" fontId="26" numFmtId="0" xfId="0" applyAlignment="1" applyBorder="1" applyFont="1">
      <alignment shrinkToFit="0" wrapText="1"/>
    </xf>
    <xf borderId="9" fillId="28" fontId="32" numFmtId="0" xfId="0" applyAlignment="1" applyBorder="1" applyFont="1">
      <alignment shrinkToFit="0" wrapText="1"/>
    </xf>
    <xf borderId="9" fillId="28" fontId="33" numFmtId="0" xfId="0" applyAlignment="1" applyBorder="1" applyFont="1">
      <alignment horizontal="center"/>
    </xf>
    <xf borderId="9" fillId="28" fontId="33" numFmtId="0" xfId="0" applyAlignment="1" applyBorder="1" applyFont="1">
      <alignment horizontal="center" shrinkToFit="0" wrapText="1"/>
    </xf>
    <xf borderId="1" fillId="29" fontId="4" numFmtId="0" xfId="0" applyBorder="1" applyFill="1" applyFont="1"/>
    <xf borderId="1" fillId="29" fontId="25" numFmtId="0" xfId="0" applyBorder="1" applyFont="1"/>
    <xf borderId="9" fillId="29" fontId="27" numFmtId="0" xfId="0" applyAlignment="1" applyBorder="1" applyFont="1">
      <alignment horizontal="center" shrinkToFit="0" wrapText="1"/>
    </xf>
    <xf borderId="9" fillId="28" fontId="34" numFmtId="0" xfId="0" applyAlignment="1" applyBorder="1" applyFont="1">
      <alignment horizontal="center"/>
    </xf>
    <xf borderId="1" fillId="30" fontId="4" numFmtId="0" xfId="0" applyBorder="1" applyFill="1" applyFont="1"/>
    <xf borderId="1" fillId="30" fontId="25" numFmtId="0" xfId="0" applyBorder="1" applyFont="1"/>
    <xf borderId="9" fillId="30" fontId="27" numFmtId="0" xfId="0" applyAlignment="1" applyBorder="1" applyFont="1">
      <alignment horizontal="center" shrinkToFit="0" wrapText="1"/>
    </xf>
    <xf borderId="9" fillId="28" fontId="35" numFmtId="0" xfId="0" applyAlignment="1" applyBorder="1" applyFont="1">
      <alignment horizontal="center"/>
    </xf>
    <xf borderId="1" fillId="31" fontId="4" numFmtId="0" xfId="0" applyBorder="1" applyFill="1" applyFont="1"/>
    <xf borderId="1" fillId="31" fontId="25" numFmtId="0" xfId="0" applyBorder="1" applyFont="1"/>
    <xf borderId="9" fillId="31" fontId="27" numFmtId="0" xfId="0" applyAlignment="1" applyBorder="1" applyFont="1">
      <alignment horizontal="center" shrinkToFit="0" wrapText="1"/>
    </xf>
    <xf borderId="9" fillId="28" fontId="36" numFmtId="0" xfId="0" applyAlignment="1" applyBorder="1" applyFont="1">
      <alignment horizontal="center"/>
    </xf>
    <xf borderId="1" fillId="32" fontId="4" numFmtId="0" xfId="0" applyBorder="1" applyFill="1" applyFont="1"/>
    <xf borderId="1" fillId="32" fontId="25" numFmtId="0" xfId="0" applyBorder="1" applyFont="1"/>
    <xf borderId="9" fillId="32" fontId="27" numFmtId="0" xfId="0" applyAlignment="1" applyBorder="1" applyFont="1">
      <alignment horizontal="center" shrinkToFit="0" wrapText="1"/>
    </xf>
    <xf borderId="9" fillId="28" fontId="37" numFmtId="0" xfId="0" applyAlignment="1" applyBorder="1" applyFont="1">
      <alignment horizontal="center"/>
    </xf>
    <xf borderId="1" fillId="33" fontId="4" numFmtId="0" xfId="0" applyBorder="1" applyFill="1" applyFont="1"/>
    <xf borderId="1" fillId="33" fontId="25" numFmtId="0" xfId="0" applyBorder="1" applyFont="1"/>
    <xf borderId="9" fillId="33" fontId="27" numFmtId="0" xfId="0" applyAlignment="1" applyBorder="1" applyFont="1">
      <alignment horizontal="center" shrinkToFit="0" wrapText="1"/>
    </xf>
    <xf borderId="9" fillId="28" fontId="38" numFmtId="0" xfId="0" applyAlignment="1" applyBorder="1" applyFont="1">
      <alignment horizontal="center"/>
    </xf>
    <xf borderId="1" fillId="34" fontId="4" numFmtId="0" xfId="0" applyBorder="1" applyFill="1" applyFont="1"/>
    <xf borderId="1" fillId="34" fontId="25" numFmtId="0" xfId="0" applyBorder="1" applyFont="1"/>
    <xf borderId="9" fillId="34" fontId="27" numFmtId="0" xfId="0" applyAlignment="1" applyBorder="1" applyFont="1">
      <alignment horizontal="center" shrinkToFit="0" wrapText="1"/>
    </xf>
    <xf borderId="9" fillId="28" fontId="39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KXAfn12bAb--8CIX_FvABRc4vxUQgotMMUDPA3YJj6A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UAJRbej2Ms67dm3ijqyQk9YhARut_0VXRUGuPiO-ZKc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22.0"/>
    <col customWidth="1" min="3" max="3" width="60.0"/>
    <col customWidth="1" min="4" max="5" width="18.0"/>
    <col customWidth="1" min="6" max="26" width="8.71"/>
  </cols>
  <sheetData>
    <row r="1" ht="31.5" customHeight="1">
      <c r="B1" s="1" t="s">
        <v>0</v>
      </c>
      <c r="C1" s="2"/>
      <c r="D1" s="2"/>
      <c r="E1" s="3"/>
    </row>
    <row r="2" ht="18.0" customHeight="1">
      <c r="B2" s="4" t="s">
        <v>1</v>
      </c>
      <c r="C2" s="2"/>
      <c r="D2" s="2"/>
      <c r="E2" s="3"/>
    </row>
    <row r="4" ht="21.75" customHeight="1">
      <c r="B4" s="5" t="s">
        <v>2</v>
      </c>
      <c r="C4" s="2"/>
      <c r="D4" s="2"/>
      <c r="E4" s="3"/>
    </row>
    <row r="5" ht="144.75" customHeight="1">
      <c r="B5" s="6" t="s">
        <v>3</v>
      </c>
      <c r="C5" s="2"/>
      <c r="D5" s="2"/>
      <c r="E5" s="3"/>
    </row>
    <row r="7" ht="21.75" customHeight="1">
      <c r="B7" s="5" t="s">
        <v>4</v>
      </c>
      <c r="C7" s="2"/>
      <c r="D7" s="2"/>
      <c r="E7" s="3"/>
    </row>
    <row r="8" ht="19.5" customHeight="1">
      <c r="B8" s="7" t="s">
        <v>5</v>
      </c>
      <c r="C8" s="7" t="s">
        <v>6</v>
      </c>
      <c r="D8" s="7" t="s">
        <v>7</v>
      </c>
    </row>
    <row r="9" ht="45.0" customHeight="1">
      <c r="B9" s="8" t="s">
        <v>8</v>
      </c>
      <c r="C9" s="9" t="s">
        <v>9</v>
      </c>
      <c r="D9" s="10" t="s">
        <v>10</v>
      </c>
    </row>
    <row r="10" ht="45.0" customHeight="1">
      <c r="B10" s="11" t="s">
        <v>11</v>
      </c>
      <c r="C10" s="12" t="s">
        <v>12</v>
      </c>
      <c r="D10" s="13" t="s">
        <v>10</v>
      </c>
    </row>
    <row r="11" ht="45.0" customHeight="1">
      <c r="B11" s="8" t="s">
        <v>13</v>
      </c>
      <c r="C11" s="9" t="s">
        <v>14</v>
      </c>
      <c r="D11" s="10" t="s">
        <v>10</v>
      </c>
    </row>
    <row r="12" ht="45.0" customHeight="1">
      <c r="B12" s="11" t="s">
        <v>15</v>
      </c>
      <c r="C12" s="12" t="s">
        <v>16</v>
      </c>
      <c r="D12" s="13" t="s">
        <v>17</v>
      </c>
    </row>
    <row r="13" ht="45.0" customHeight="1">
      <c r="B13" s="8" t="s">
        <v>18</v>
      </c>
      <c r="C13" s="9" t="s">
        <v>19</v>
      </c>
      <c r="D13" s="10" t="s">
        <v>17</v>
      </c>
    </row>
    <row r="14" ht="45.0" customHeight="1">
      <c r="B14" s="11" t="s">
        <v>20</v>
      </c>
      <c r="C14" s="12" t="s">
        <v>21</v>
      </c>
      <c r="D14" s="13" t="s">
        <v>22</v>
      </c>
    </row>
    <row r="15" ht="45.0" customHeight="1">
      <c r="B15" s="8" t="s">
        <v>23</v>
      </c>
      <c r="C15" s="9" t="s">
        <v>24</v>
      </c>
      <c r="D15" s="10" t="s">
        <v>22</v>
      </c>
    </row>
    <row r="16" ht="45.0" customHeight="1">
      <c r="B16" s="11" t="s">
        <v>25</v>
      </c>
      <c r="C16" s="12" t="s">
        <v>26</v>
      </c>
      <c r="D16" s="13" t="s">
        <v>22</v>
      </c>
    </row>
    <row r="17" ht="45.0" customHeight="1">
      <c r="B17" s="8" t="s">
        <v>27</v>
      </c>
      <c r="C17" s="9" t="s">
        <v>28</v>
      </c>
      <c r="D17" s="10" t="s">
        <v>22</v>
      </c>
    </row>
    <row r="18" ht="45.0" customHeight="1">
      <c r="B18" s="11" t="s">
        <v>29</v>
      </c>
      <c r="C18" s="12" t="s">
        <v>30</v>
      </c>
      <c r="D18" s="13" t="s">
        <v>22</v>
      </c>
    </row>
    <row r="19" ht="45.0" customHeight="1">
      <c r="B19" s="14" t="s">
        <v>31</v>
      </c>
      <c r="C19" s="15" t="s">
        <v>32</v>
      </c>
      <c r="D19" s="16" t="s">
        <v>33</v>
      </c>
    </row>
    <row r="20" ht="45.0" customHeight="1">
      <c r="B20" s="14" t="s">
        <v>34</v>
      </c>
      <c r="C20" s="15" t="s">
        <v>35</v>
      </c>
      <c r="D20" s="16" t="s">
        <v>33</v>
      </c>
    </row>
    <row r="21" ht="15.75" customHeight="1"/>
    <row r="22" ht="21.75" customHeight="1">
      <c r="B22" s="17" t="s">
        <v>36</v>
      </c>
      <c r="C22" s="2"/>
      <c r="D22" s="2"/>
      <c r="E22" s="3"/>
    </row>
    <row r="23" ht="84.75" customHeight="1">
      <c r="B23" s="18" t="s">
        <v>37</v>
      </c>
      <c r="C23" s="2"/>
      <c r="D23" s="2"/>
      <c r="E23" s="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E1"/>
    <mergeCell ref="B2:E2"/>
    <mergeCell ref="B4:E4"/>
    <mergeCell ref="B5:E5"/>
    <mergeCell ref="B7:E7"/>
    <mergeCell ref="B22:E22"/>
    <mergeCell ref="B23:E2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0"/>
    <col customWidth="1" min="3" max="3" width="28.0"/>
    <col customWidth="1" min="4" max="5" width="14.0"/>
    <col customWidth="1" min="6" max="7" width="10.0"/>
    <col customWidth="1" min="8" max="9" width="14.0"/>
    <col customWidth="1" min="10" max="26" width="8.71"/>
  </cols>
  <sheetData>
    <row r="1" ht="27.75" customHeight="1">
      <c r="B1" s="19" t="s">
        <v>38</v>
      </c>
      <c r="C1" s="2"/>
      <c r="D1" s="2"/>
      <c r="E1" s="2"/>
      <c r="F1" s="2"/>
      <c r="G1" s="2"/>
      <c r="H1" s="2"/>
      <c r="I1" s="3"/>
    </row>
    <row r="2" ht="15.75" customHeight="1">
      <c r="B2" s="20" t="s">
        <v>39</v>
      </c>
      <c r="C2" s="2"/>
      <c r="D2" s="2"/>
      <c r="E2" s="2"/>
      <c r="F2" s="2"/>
      <c r="G2" s="2"/>
      <c r="H2" s="2"/>
      <c r="I2" s="3"/>
    </row>
    <row r="4" ht="19.5" customHeight="1">
      <c r="B4" s="21" t="s">
        <v>40</v>
      </c>
      <c r="C4" s="2"/>
      <c r="D4" s="2"/>
      <c r="E4" s="2"/>
      <c r="F4" s="2"/>
      <c r="G4" s="2"/>
      <c r="H4" s="2"/>
      <c r="I4" s="3"/>
    </row>
    <row r="5" ht="19.5" customHeight="1">
      <c r="B5" s="22" t="s">
        <v>41</v>
      </c>
      <c r="C5" s="22" t="s">
        <v>42</v>
      </c>
      <c r="D5" s="22" t="s">
        <v>43</v>
      </c>
      <c r="E5" s="22" t="s">
        <v>44</v>
      </c>
      <c r="F5" s="22" t="s">
        <v>45</v>
      </c>
      <c r="G5" s="22" t="s">
        <v>46</v>
      </c>
      <c r="H5" s="22" t="s">
        <v>47</v>
      </c>
      <c r="I5" s="22" t="s">
        <v>7</v>
      </c>
    </row>
    <row r="6" ht="18.0" customHeight="1">
      <c r="B6" s="23" t="s">
        <v>48</v>
      </c>
      <c r="C6" s="24" t="s">
        <v>49</v>
      </c>
      <c r="D6" s="25" t="s">
        <v>50</v>
      </c>
      <c r="E6" s="25" t="s">
        <v>51</v>
      </c>
      <c r="F6" s="25">
        <v>21.0</v>
      </c>
      <c r="G6" s="25">
        <v>8.0</v>
      </c>
      <c r="H6" s="26">
        <f t="shared" ref="H6:H12" si="1">G6/F6</f>
        <v>0.380952381</v>
      </c>
      <c r="I6" s="27" t="s">
        <v>52</v>
      </c>
    </row>
    <row r="7" ht="18.0" customHeight="1">
      <c r="B7" s="28" t="s">
        <v>53</v>
      </c>
      <c r="C7" s="29" t="s">
        <v>54</v>
      </c>
      <c r="D7" s="30" t="s">
        <v>51</v>
      </c>
      <c r="E7" s="30" t="s">
        <v>55</v>
      </c>
      <c r="F7" s="30">
        <v>17.0</v>
      </c>
      <c r="G7" s="30">
        <v>5.0</v>
      </c>
      <c r="H7" s="31">
        <f t="shared" si="1"/>
        <v>0.2941176471</v>
      </c>
      <c r="I7" s="32" t="s">
        <v>52</v>
      </c>
    </row>
    <row r="8" ht="18.0" customHeight="1">
      <c r="B8" s="23" t="s">
        <v>56</v>
      </c>
      <c r="C8" s="24" t="s">
        <v>57</v>
      </c>
      <c r="D8" s="25" t="s">
        <v>55</v>
      </c>
      <c r="E8" s="25" t="s">
        <v>58</v>
      </c>
      <c r="F8" s="25">
        <v>17.0</v>
      </c>
      <c r="G8" s="25">
        <v>0.0</v>
      </c>
      <c r="H8" s="26">
        <f t="shared" si="1"/>
        <v>0</v>
      </c>
      <c r="I8" s="25" t="s">
        <v>59</v>
      </c>
    </row>
    <row r="9" ht="18.0" customHeight="1">
      <c r="B9" s="28" t="s">
        <v>60</v>
      </c>
      <c r="C9" s="29" t="s">
        <v>61</v>
      </c>
      <c r="D9" s="30" t="s">
        <v>58</v>
      </c>
      <c r="E9" s="30" t="s">
        <v>62</v>
      </c>
      <c r="F9" s="30">
        <v>12.0</v>
      </c>
      <c r="G9" s="30">
        <v>0.0</v>
      </c>
      <c r="H9" s="31">
        <f t="shared" si="1"/>
        <v>0</v>
      </c>
      <c r="I9" s="30" t="s">
        <v>59</v>
      </c>
    </row>
    <row r="10" ht="18.0" customHeight="1">
      <c r="B10" s="23" t="s">
        <v>63</v>
      </c>
      <c r="C10" s="24" t="s">
        <v>64</v>
      </c>
      <c r="D10" s="25" t="s">
        <v>65</v>
      </c>
      <c r="E10" s="25" t="s">
        <v>66</v>
      </c>
      <c r="F10" s="25">
        <v>13.0</v>
      </c>
      <c r="G10" s="25">
        <v>0.0</v>
      </c>
      <c r="H10" s="26">
        <f t="shared" si="1"/>
        <v>0</v>
      </c>
      <c r="I10" s="25" t="s">
        <v>59</v>
      </c>
    </row>
    <row r="11" ht="18.0" customHeight="1">
      <c r="B11" s="28" t="s">
        <v>67</v>
      </c>
      <c r="C11" s="29" t="s">
        <v>68</v>
      </c>
      <c r="D11" s="30" t="s">
        <v>66</v>
      </c>
      <c r="E11" s="30" t="s">
        <v>69</v>
      </c>
      <c r="F11" s="30">
        <v>13.0</v>
      </c>
      <c r="G11" s="30">
        <v>0.0</v>
      </c>
      <c r="H11" s="31">
        <f t="shared" si="1"/>
        <v>0</v>
      </c>
      <c r="I11" s="30" t="s">
        <v>59</v>
      </c>
    </row>
    <row r="12" ht="18.0" customHeight="1">
      <c r="B12" s="23" t="s">
        <v>70</v>
      </c>
      <c r="C12" s="24" t="s">
        <v>71</v>
      </c>
      <c r="D12" s="25" t="s">
        <v>69</v>
      </c>
      <c r="E12" s="25" t="s">
        <v>72</v>
      </c>
      <c r="F12" s="25">
        <v>11.0</v>
      </c>
      <c r="G12" s="25">
        <v>0.0</v>
      </c>
      <c r="H12" s="26">
        <f t="shared" si="1"/>
        <v>0</v>
      </c>
      <c r="I12" s="25" t="s">
        <v>59</v>
      </c>
    </row>
    <row r="15" ht="19.5" customHeight="1">
      <c r="B15" s="21" t="s">
        <v>73</v>
      </c>
      <c r="C15" s="2"/>
      <c r="D15" s="2"/>
      <c r="E15" s="2"/>
      <c r="F15" s="2"/>
      <c r="G15" s="2"/>
      <c r="H15" s="2"/>
      <c r="I15" s="3"/>
    </row>
    <row r="16" ht="19.5" customHeight="1">
      <c r="B16" s="22" t="s">
        <v>74</v>
      </c>
      <c r="C16" s="22" t="s">
        <v>75</v>
      </c>
      <c r="D16" s="22"/>
      <c r="E16" s="22"/>
      <c r="F16" s="22"/>
      <c r="G16" s="22"/>
      <c r="H16" s="22" t="s">
        <v>76</v>
      </c>
      <c r="I16" s="22" t="s">
        <v>7</v>
      </c>
    </row>
    <row r="17" ht="34.5" customHeight="1">
      <c r="B17" s="33" t="s">
        <v>77</v>
      </c>
      <c r="C17" s="34" t="s">
        <v>78</v>
      </c>
      <c r="D17" s="35"/>
      <c r="E17" s="35"/>
      <c r="F17" s="35"/>
      <c r="G17" s="36"/>
      <c r="H17" s="37" t="s">
        <v>79</v>
      </c>
      <c r="I17" s="37" t="s">
        <v>80</v>
      </c>
    </row>
    <row r="18" ht="34.5" customHeight="1">
      <c r="B18" s="38" t="s">
        <v>81</v>
      </c>
      <c r="C18" s="39" t="s">
        <v>82</v>
      </c>
      <c r="D18" s="35"/>
      <c r="E18" s="35"/>
      <c r="F18" s="35"/>
      <c r="G18" s="36"/>
      <c r="H18" s="40" t="s">
        <v>79</v>
      </c>
      <c r="I18" s="40" t="s">
        <v>80</v>
      </c>
    </row>
    <row r="19" ht="34.5" customHeight="1">
      <c r="B19" s="33" t="s">
        <v>83</v>
      </c>
      <c r="C19" s="34" t="s">
        <v>84</v>
      </c>
      <c r="D19" s="35"/>
      <c r="E19" s="35"/>
      <c r="F19" s="35"/>
      <c r="G19" s="36"/>
      <c r="H19" s="37" t="s">
        <v>85</v>
      </c>
      <c r="I19" s="37" t="s">
        <v>86</v>
      </c>
    </row>
    <row r="20" ht="34.5" customHeight="1">
      <c r="B20" s="38" t="s">
        <v>87</v>
      </c>
      <c r="C20" s="39" t="s">
        <v>88</v>
      </c>
      <c r="D20" s="35"/>
      <c r="E20" s="35"/>
      <c r="F20" s="35"/>
      <c r="G20" s="36"/>
      <c r="H20" s="40" t="s">
        <v>89</v>
      </c>
      <c r="I20" s="40" t="s">
        <v>86</v>
      </c>
    </row>
    <row r="21" ht="34.5" customHeight="1">
      <c r="B21" s="33" t="s">
        <v>90</v>
      </c>
      <c r="C21" s="34" t="s">
        <v>91</v>
      </c>
      <c r="D21" s="35"/>
      <c r="E21" s="35"/>
      <c r="F21" s="35"/>
      <c r="G21" s="36"/>
      <c r="H21" s="37" t="s">
        <v>92</v>
      </c>
      <c r="I21" s="37" t="s">
        <v>86</v>
      </c>
    </row>
    <row r="22" ht="34.5" customHeight="1">
      <c r="B22" s="38" t="s">
        <v>93</v>
      </c>
      <c r="C22" s="39" t="s">
        <v>94</v>
      </c>
      <c r="D22" s="35"/>
      <c r="E22" s="35"/>
      <c r="F22" s="35"/>
      <c r="G22" s="36"/>
      <c r="H22" s="40" t="s">
        <v>95</v>
      </c>
      <c r="I22" s="40" t="s">
        <v>86</v>
      </c>
    </row>
    <row r="23" ht="34.5" customHeight="1">
      <c r="B23" s="33" t="s">
        <v>70</v>
      </c>
      <c r="C23" s="34" t="s">
        <v>96</v>
      </c>
      <c r="D23" s="35"/>
      <c r="E23" s="35"/>
      <c r="F23" s="35"/>
      <c r="G23" s="36"/>
      <c r="H23" s="37" t="s">
        <v>97</v>
      </c>
      <c r="I23" s="37" t="s">
        <v>86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C20:G20"/>
    <mergeCell ref="C21:G21"/>
    <mergeCell ref="C22:G22"/>
    <mergeCell ref="C23:G23"/>
    <mergeCell ref="B1:I1"/>
    <mergeCell ref="B2:I2"/>
    <mergeCell ref="B4:I4"/>
    <mergeCell ref="B15:I15"/>
    <mergeCell ref="C17:G17"/>
    <mergeCell ref="C18:G18"/>
    <mergeCell ref="C19:G19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22.0"/>
    <col customWidth="1" min="3" max="3" width="55.0"/>
    <col customWidth="1" min="4" max="26" width="8.71"/>
  </cols>
  <sheetData>
    <row r="1" ht="27.75" customHeight="1">
      <c r="B1" s="19" t="s">
        <v>98</v>
      </c>
      <c r="C1" s="3"/>
    </row>
    <row r="2" ht="15.75" customHeight="1">
      <c r="B2" s="41" t="s">
        <v>99</v>
      </c>
      <c r="C2" s="3"/>
    </row>
    <row r="4" ht="19.5" customHeight="1">
      <c r="B4" s="21" t="s">
        <v>100</v>
      </c>
      <c r="C4" s="3"/>
    </row>
    <row r="5" ht="18.0" customHeight="1">
      <c r="B5" s="42" t="s">
        <v>101</v>
      </c>
      <c r="C5" s="43" t="s">
        <v>102</v>
      </c>
    </row>
    <row r="6" ht="18.0" customHeight="1">
      <c r="B6" s="42" t="s">
        <v>103</v>
      </c>
      <c r="C6" s="44" t="s">
        <v>104</v>
      </c>
    </row>
    <row r="7" ht="18.0" customHeight="1">
      <c r="B7" s="42" t="s">
        <v>105</v>
      </c>
      <c r="C7" s="45" t="s">
        <v>106</v>
      </c>
    </row>
    <row r="8" ht="18.0" customHeight="1">
      <c r="B8" s="42" t="s">
        <v>107</v>
      </c>
      <c r="C8" s="46" t="s">
        <v>108</v>
      </c>
    </row>
    <row r="9" ht="18.0" customHeight="1">
      <c r="B9" s="42" t="s">
        <v>109</v>
      </c>
      <c r="C9" s="47" t="s">
        <v>110</v>
      </c>
    </row>
    <row r="11" ht="19.5" customHeight="1">
      <c r="B11" s="21" t="s">
        <v>111</v>
      </c>
      <c r="C11" s="3"/>
    </row>
    <row r="12" ht="18.0" customHeight="1">
      <c r="B12" s="42" t="s">
        <v>112</v>
      </c>
      <c r="C12" s="48" t="s">
        <v>113</v>
      </c>
    </row>
    <row r="13" ht="18.0" customHeight="1">
      <c r="B13" s="42" t="s">
        <v>114</v>
      </c>
      <c r="C13" s="48" t="s">
        <v>115</v>
      </c>
    </row>
    <row r="14" ht="18.0" customHeight="1">
      <c r="B14" s="42" t="s">
        <v>116</v>
      </c>
      <c r="C14" s="48" t="s">
        <v>117</v>
      </c>
    </row>
    <row r="15" ht="18.0" customHeight="1">
      <c r="B15" s="42" t="s">
        <v>118</v>
      </c>
      <c r="C15" s="48" t="s">
        <v>119</v>
      </c>
    </row>
    <row r="17" ht="19.5" customHeight="1">
      <c r="B17" s="21" t="s">
        <v>120</v>
      </c>
      <c r="C17" s="3"/>
    </row>
    <row r="18" ht="18.0" customHeight="1">
      <c r="B18" s="42" t="s">
        <v>121</v>
      </c>
      <c r="C18" s="48" t="s">
        <v>122</v>
      </c>
    </row>
    <row r="19" ht="18.0" customHeight="1">
      <c r="B19" s="42" t="s">
        <v>123</v>
      </c>
      <c r="C19" s="48" t="s">
        <v>124</v>
      </c>
    </row>
    <row r="20" ht="18.0" customHeight="1">
      <c r="B20" s="42" t="s">
        <v>125</v>
      </c>
      <c r="C20" s="48" t="s">
        <v>126</v>
      </c>
    </row>
    <row r="21" ht="18.0" customHeight="1">
      <c r="B21" s="42" t="s">
        <v>127</v>
      </c>
      <c r="C21" s="48" t="s">
        <v>128</v>
      </c>
    </row>
    <row r="22" ht="18.0" customHeight="1">
      <c r="B22" s="42" t="s">
        <v>129</v>
      </c>
      <c r="C22" s="48" t="s">
        <v>130</v>
      </c>
    </row>
    <row r="23" ht="18.0" customHeight="1">
      <c r="B23" s="42" t="s">
        <v>131</v>
      </c>
      <c r="C23" s="48" t="s">
        <v>132</v>
      </c>
    </row>
    <row r="24" ht="18.0" customHeight="1">
      <c r="B24" s="42" t="s">
        <v>133</v>
      </c>
      <c r="C24" s="48" t="s">
        <v>134</v>
      </c>
    </row>
    <row r="25" ht="18.0" customHeight="1">
      <c r="B25" s="42" t="s">
        <v>135</v>
      </c>
      <c r="C25" s="48" t="s">
        <v>136</v>
      </c>
    </row>
    <row r="26" ht="15.75" customHeight="1"/>
    <row r="27" ht="19.5" customHeight="1">
      <c r="B27" s="49" t="s">
        <v>137</v>
      </c>
      <c r="C27" s="3"/>
    </row>
    <row r="28" ht="18.0" customHeight="1">
      <c r="B28" s="42" t="s">
        <v>138</v>
      </c>
      <c r="C28" s="48" t="s">
        <v>139</v>
      </c>
    </row>
    <row r="29" ht="18.0" customHeight="1">
      <c r="B29" s="42" t="s">
        <v>140</v>
      </c>
      <c r="C29" s="48" t="s">
        <v>141</v>
      </c>
    </row>
    <row r="30" ht="18.0" customHeight="1">
      <c r="B30" s="42" t="s">
        <v>142</v>
      </c>
      <c r="C30" s="48" t="s">
        <v>143</v>
      </c>
    </row>
    <row r="31" ht="18.0" customHeight="1">
      <c r="B31" s="42" t="s">
        <v>144</v>
      </c>
      <c r="C31" s="48" t="s">
        <v>145</v>
      </c>
    </row>
    <row r="32" ht="18.0" customHeight="1">
      <c r="B32" s="42" t="s">
        <v>146</v>
      </c>
      <c r="C32" s="48" t="s">
        <v>147</v>
      </c>
    </row>
    <row r="33" ht="15.75" customHeight="1"/>
    <row r="34" ht="19.5" customHeight="1">
      <c r="B34" s="50" t="s">
        <v>148</v>
      </c>
      <c r="C34" s="3"/>
    </row>
    <row r="35" ht="18.0" customHeight="1">
      <c r="B35" s="42" t="s">
        <v>149</v>
      </c>
      <c r="C35" s="48" t="s">
        <v>150</v>
      </c>
    </row>
    <row r="36" ht="18.0" customHeight="1">
      <c r="B36" s="42" t="s">
        <v>151</v>
      </c>
      <c r="C36" s="48" t="s">
        <v>152</v>
      </c>
    </row>
    <row r="37" ht="18.0" customHeight="1">
      <c r="B37" s="42" t="s">
        <v>153</v>
      </c>
      <c r="C37" s="48" t="s">
        <v>154</v>
      </c>
    </row>
    <row r="38" ht="18.0" customHeight="1">
      <c r="B38" s="42" t="s">
        <v>155</v>
      </c>
      <c r="C38" s="48" t="s">
        <v>156</v>
      </c>
    </row>
    <row r="39" ht="18.0" customHeight="1">
      <c r="B39" s="42" t="s">
        <v>157</v>
      </c>
      <c r="C39" s="48" t="s">
        <v>158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C1"/>
    <mergeCell ref="B2:C2"/>
    <mergeCell ref="B4:C4"/>
    <mergeCell ref="B11:C11"/>
    <mergeCell ref="B17:C17"/>
    <mergeCell ref="B27:C27"/>
    <mergeCell ref="B34:C34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3.0"/>
    <col customWidth="1" min="2" max="2" width="7.0"/>
    <col customWidth="1" min="3" max="3" width="28.0"/>
    <col customWidth="1" min="4" max="4" width="55.0"/>
    <col customWidth="1" min="5" max="5" width="18.0"/>
    <col customWidth="1" min="6" max="6" width="16.0"/>
    <col customWidth="1" min="7" max="7" width="14.0"/>
    <col customWidth="1" min="8" max="9" width="12.0"/>
    <col customWidth="1" min="10" max="10" width="14.0"/>
    <col customWidth="1" min="11" max="11" width="20.43"/>
    <col customWidth="1" min="12" max="12" width="18.86"/>
    <col customWidth="1" min="13" max="13" width="10.0"/>
    <col customWidth="1" min="14" max="14" width="35.0"/>
    <col customWidth="1" min="15" max="26" width="8.71"/>
  </cols>
  <sheetData>
    <row r="1" ht="27.75" customHeight="1">
      <c r="B1" s="19" t="s">
        <v>159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5.75" customHeight="1">
      <c r="B2" s="20" t="s">
        <v>160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34.5" customHeight="1">
      <c r="B3" s="51" t="s">
        <v>161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</row>
    <row r="4" ht="6.0" customHeight="1"/>
    <row r="5" ht="21.75" customHeight="1">
      <c r="B5" s="52" t="s">
        <v>162</v>
      </c>
      <c r="C5" s="52" t="s">
        <v>163</v>
      </c>
      <c r="D5" s="52" t="s">
        <v>164</v>
      </c>
      <c r="E5" s="52" t="s">
        <v>165</v>
      </c>
      <c r="F5" s="52" t="s">
        <v>166</v>
      </c>
      <c r="G5" s="52" t="s">
        <v>7</v>
      </c>
      <c r="H5" s="52" t="s">
        <v>167</v>
      </c>
      <c r="I5" s="52" t="s">
        <v>168</v>
      </c>
      <c r="J5" s="52" t="s">
        <v>169</v>
      </c>
      <c r="K5" s="52" t="s">
        <v>170</v>
      </c>
      <c r="L5" s="52" t="s">
        <v>171</v>
      </c>
      <c r="M5" s="52" t="s">
        <v>172</v>
      </c>
      <c r="N5" s="53" t="s">
        <v>173</v>
      </c>
    </row>
    <row r="6" ht="18.0" customHeight="1">
      <c r="B6" s="54" t="s">
        <v>174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/>
    </row>
    <row r="7" ht="45.0" customHeight="1">
      <c r="B7" s="55" t="s">
        <v>175</v>
      </c>
      <c r="C7" s="56" t="s">
        <v>176</v>
      </c>
      <c r="D7" s="57" t="s">
        <v>177</v>
      </c>
      <c r="E7" s="58" t="s">
        <v>178</v>
      </c>
      <c r="F7" s="58" t="s">
        <v>179</v>
      </c>
      <c r="G7" s="59" t="s">
        <v>105</v>
      </c>
      <c r="H7" s="60" t="s">
        <v>180</v>
      </c>
      <c r="I7" s="60" t="s">
        <v>50</v>
      </c>
      <c r="J7" s="59" t="s">
        <v>112</v>
      </c>
      <c r="K7" s="57" t="s">
        <v>181</v>
      </c>
      <c r="L7" s="61"/>
      <c r="M7" s="62">
        <v>1.0</v>
      </c>
      <c r="N7" s="63" t="s">
        <v>182</v>
      </c>
    </row>
    <row r="8" ht="45.0" customHeight="1">
      <c r="B8" s="55" t="s">
        <v>183</v>
      </c>
      <c r="C8" s="56" t="s">
        <v>184</v>
      </c>
      <c r="D8" s="57" t="s">
        <v>185</v>
      </c>
      <c r="E8" s="58" t="s">
        <v>178</v>
      </c>
      <c r="F8" s="58" t="s">
        <v>186</v>
      </c>
      <c r="G8" s="59" t="s">
        <v>105</v>
      </c>
      <c r="H8" s="60" t="s">
        <v>187</v>
      </c>
      <c r="I8" s="60" t="s">
        <v>188</v>
      </c>
      <c r="J8" s="59" t="s">
        <v>112</v>
      </c>
      <c r="K8" s="57" t="s">
        <v>189</v>
      </c>
      <c r="L8" s="61"/>
      <c r="M8" s="62">
        <v>1.0</v>
      </c>
      <c r="N8" s="63" t="s">
        <v>190</v>
      </c>
    </row>
    <row r="9" ht="45.0" customHeight="1">
      <c r="B9" s="55" t="s">
        <v>191</v>
      </c>
      <c r="C9" s="56" t="s">
        <v>192</v>
      </c>
      <c r="D9" s="57" t="s">
        <v>193</v>
      </c>
      <c r="E9" s="58" t="s">
        <v>178</v>
      </c>
      <c r="F9" s="58" t="s">
        <v>179</v>
      </c>
      <c r="G9" s="59" t="s">
        <v>105</v>
      </c>
      <c r="H9" s="60" t="s">
        <v>187</v>
      </c>
      <c r="I9" s="60" t="s">
        <v>188</v>
      </c>
      <c r="J9" s="59" t="s">
        <v>114</v>
      </c>
      <c r="K9" s="57" t="s">
        <v>194</v>
      </c>
      <c r="L9" s="61"/>
      <c r="M9" s="62">
        <v>1.0</v>
      </c>
      <c r="N9" s="63" t="s">
        <v>195</v>
      </c>
    </row>
    <row r="10" ht="45.0" customHeight="1">
      <c r="B10" s="55" t="s">
        <v>196</v>
      </c>
      <c r="C10" s="56" t="s">
        <v>197</v>
      </c>
      <c r="D10" s="57" t="s">
        <v>198</v>
      </c>
      <c r="E10" s="58" t="s">
        <v>178</v>
      </c>
      <c r="F10" s="58" t="s">
        <v>186</v>
      </c>
      <c r="G10" s="59" t="s">
        <v>105</v>
      </c>
      <c r="H10" s="60" t="s">
        <v>199</v>
      </c>
      <c r="I10" s="60" t="s">
        <v>180</v>
      </c>
      <c r="J10" s="59" t="s">
        <v>114</v>
      </c>
      <c r="K10" s="57" t="s">
        <v>200</v>
      </c>
      <c r="L10" s="61"/>
      <c r="M10" s="62">
        <v>2.0</v>
      </c>
      <c r="N10" s="63" t="s">
        <v>201</v>
      </c>
    </row>
    <row r="11" ht="45.0" customHeight="1">
      <c r="B11" s="55" t="s">
        <v>202</v>
      </c>
      <c r="C11" s="56" t="s">
        <v>203</v>
      </c>
      <c r="D11" s="57" t="s">
        <v>204</v>
      </c>
      <c r="E11" s="58" t="s">
        <v>178</v>
      </c>
      <c r="F11" s="58" t="s">
        <v>205</v>
      </c>
      <c r="G11" s="59" t="s">
        <v>105</v>
      </c>
      <c r="H11" s="60" t="s">
        <v>199</v>
      </c>
      <c r="I11" s="60" t="s">
        <v>206</v>
      </c>
      <c r="J11" s="59" t="s">
        <v>116</v>
      </c>
      <c r="K11" s="57" t="s">
        <v>207</v>
      </c>
      <c r="L11" s="61"/>
      <c r="M11" s="62">
        <v>2.0</v>
      </c>
      <c r="N11" s="63" t="s">
        <v>208</v>
      </c>
    </row>
    <row r="13" ht="18.0" customHeight="1">
      <c r="B13" s="54" t="s">
        <v>209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3"/>
    </row>
    <row r="14" ht="45.0" customHeight="1">
      <c r="B14" s="64" t="s">
        <v>210</v>
      </c>
      <c r="C14" s="65" t="s">
        <v>211</v>
      </c>
      <c r="D14" s="66" t="s">
        <v>212</v>
      </c>
      <c r="E14" s="67" t="s">
        <v>213</v>
      </c>
      <c r="F14" s="67" t="s">
        <v>179</v>
      </c>
      <c r="G14" s="68" t="s">
        <v>103</v>
      </c>
      <c r="H14" s="69" t="s">
        <v>214</v>
      </c>
      <c r="I14" s="69"/>
      <c r="J14" s="68" t="s">
        <v>112</v>
      </c>
      <c r="K14" s="66" t="s">
        <v>215</v>
      </c>
      <c r="L14" s="70"/>
      <c r="M14" s="71">
        <v>4.0</v>
      </c>
      <c r="N14" s="63" t="s">
        <v>216</v>
      </c>
    </row>
    <row r="15" ht="45.0" customHeight="1">
      <c r="B15" s="64" t="s">
        <v>217</v>
      </c>
      <c r="C15" s="65" t="s">
        <v>218</v>
      </c>
      <c r="D15" s="66" t="s">
        <v>219</v>
      </c>
      <c r="E15" s="67" t="s">
        <v>213</v>
      </c>
      <c r="F15" s="67" t="s">
        <v>179</v>
      </c>
      <c r="G15" s="68" t="s">
        <v>103</v>
      </c>
      <c r="H15" s="69" t="s">
        <v>214</v>
      </c>
      <c r="I15" s="69"/>
      <c r="J15" s="68" t="s">
        <v>112</v>
      </c>
      <c r="K15" s="66" t="s">
        <v>220</v>
      </c>
      <c r="L15" s="70"/>
      <c r="M15" s="71">
        <v>3.0</v>
      </c>
      <c r="N15" s="63" t="s">
        <v>221</v>
      </c>
    </row>
    <row r="16" ht="45.0" customHeight="1">
      <c r="B16" s="64" t="s">
        <v>222</v>
      </c>
      <c r="C16" s="65" t="s">
        <v>223</v>
      </c>
      <c r="D16" s="66" t="s">
        <v>224</v>
      </c>
      <c r="E16" s="67" t="s">
        <v>213</v>
      </c>
      <c r="F16" s="67" t="s">
        <v>179</v>
      </c>
      <c r="G16" s="68" t="s">
        <v>103</v>
      </c>
      <c r="H16" s="69" t="s">
        <v>187</v>
      </c>
      <c r="I16" s="69"/>
      <c r="J16" s="68" t="s">
        <v>112</v>
      </c>
      <c r="K16" s="66" t="s">
        <v>225</v>
      </c>
      <c r="L16" s="70"/>
      <c r="M16" s="71">
        <v>2.0</v>
      </c>
      <c r="N16" s="63" t="s">
        <v>226</v>
      </c>
    </row>
    <row r="17" ht="45.0" customHeight="1">
      <c r="B17" s="72" t="s">
        <v>227</v>
      </c>
      <c r="C17" s="73" t="s">
        <v>228</v>
      </c>
      <c r="D17" s="74" t="s">
        <v>229</v>
      </c>
      <c r="E17" s="75" t="s">
        <v>230</v>
      </c>
      <c r="F17" s="75" t="s">
        <v>179</v>
      </c>
      <c r="G17" s="76" t="s">
        <v>101</v>
      </c>
      <c r="H17" s="77" t="s">
        <v>231</v>
      </c>
      <c r="I17" s="77"/>
      <c r="J17" s="76" t="s">
        <v>112</v>
      </c>
      <c r="K17" s="74" t="s">
        <v>232</v>
      </c>
      <c r="L17" s="78"/>
      <c r="M17" s="79">
        <v>6.0</v>
      </c>
      <c r="N17" s="63" t="s">
        <v>233</v>
      </c>
    </row>
    <row r="18" ht="45.0" customHeight="1">
      <c r="B18" s="64" t="s">
        <v>234</v>
      </c>
      <c r="C18" s="65" t="s">
        <v>235</v>
      </c>
      <c r="D18" s="66" t="s">
        <v>236</v>
      </c>
      <c r="E18" s="67" t="s">
        <v>230</v>
      </c>
      <c r="F18" s="67" t="s">
        <v>186</v>
      </c>
      <c r="G18" s="68" t="s">
        <v>103</v>
      </c>
      <c r="H18" s="69" t="s">
        <v>231</v>
      </c>
      <c r="I18" s="69"/>
      <c r="J18" s="68" t="s">
        <v>114</v>
      </c>
      <c r="K18" s="66" t="s">
        <v>237</v>
      </c>
      <c r="L18" s="70"/>
      <c r="M18" s="71">
        <v>3.0</v>
      </c>
      <c r="N18" s="63" t="s">
        <v>238</v>
      </c>
    </row>
    <row r="20" ht="18.0" customHeight="1">
      <c r="B20" s="54" t="s">
        <v>239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3"/>
    </row>
    <row r="21" ht="45.0" customHeight="1">
      <c r="B21" s="55" t="s">
        <v>240</v>
      </c>
      <c r="C21" s="56" t="s">
        <v>241</v>
      </c>
      <c r="D21" s="57" t="s">
        <v>242</v>
      </c>
      <c r="E21" s="58" t="s">
        <v>243</v>
      </c>
      <c r="F21" s="58" t="s">
        <v>205</v>
      </c>
      <c r="G21" s="59" t="s">
        <v>105</v>
      </c>
      <c r="H21" s="60" t="s">
        <v>180</v>
      </c>
      <c r="I21" s="60" t="s">
        <v>188</v>
      </c>
      <c r="J21" s="59" t="s">
        <v>112</v>
      </c>
      <c r="K21" s="57" t="s">
        <v>244</v>
      </c>
      <c r="L21" s="61"/>
      <c r="M21" s="62">
        <v>1.0</v>
      </c>
      <c r="N21" s="63"/>
    </row>
    <row r="22" ht="45.0" customHeight="1">
      <c r="B22" s="64" t="s">
        <v>245</v>
      </c>
      <c r="C22" s="65" t="s">
        <v>246</v>
      </c>
      <c r="D22" s="66" t="s">
        <v>247</v>
      </c>
      <c r="E22" s="67" t="s">
        <v>243</v>
      </c>
      <c r="F22" s="67" t="s">
        <v>248</v>
      </c>
      <c r="G22" s="68" t="s">
        <v>103</v>
      </c>
      <c r="H22" s="69" t="s">
        <v>199</v>
      </c>
      <c r="I22" s="69"/>
      <c r="J22" s="68" t="s">
        <v>114</v>
      </c>
      <c r="K22" s="66" t="s">
        <v>249</v>
      </c>
      <c r="L22" s="70"/>
      <c r="M22" s="71">
        <v>3.0</v>
      </c>
      <c r="N22" s="63" t="s">
        <v>250</v>
      </c>
    </row>
    <row r="23" ht="45.0" customHeight="1">
      <c r="B23" s="80" t="s">
        <v>251</v>
      </c>
      <c r="C23" s="81" t="s">
        <v>252</v>
      </c>
      <c r="D23" s="82" t="s">
        <v>253</v>
      </c>
      <c r="E23" s="83" t="s">
        <v>243</v>
      </c>
      <c r="F23" s="83" t="s">
        <v>248</v>
      </c>
      <c r="G23" s="84" t="s">
        <v>101</v>
      </c>
      <c r="H23" s="85" t="s">
        <v>231</v>
      </c>
      <c r="I23" s="85"/>
      <c r="J23" s="84" t="s">
        <v>116</v>
      </c>
      <c r="K23" s="82" t="s">
        <v>254</v>
      </c>
      <c r="L23" s="86"/>
      <c r="M23" s="87">
        <v>1.0</v>
      </c>
      <c r="N23" s="63" t="s">
        <v>255</v>
      </c>
    </row>
    <row r="24" ht="45.0" customHeight="1">
      <c r="B24" s="55" t="s">
        <v>256</v>
      </c>
      <c r="C24" s="56" t="s">
        <v>257</v>
      </c>
      <c r="D24" s="57" t="s">
        <v>258</v>
      </c>
      <c r="E24" s="58" t="s">
        <v>243</v>
      </c>
      <c r="F24" s="58" t="s">
        <v>205</v>
      </c>
      <c r="G24" s="59" t="s">
        <v>105</v>
      </c>
      <c r="H24" s="60" t="s">
        <v>231</v>
      </c>
      <c r="I24" s="60" t="s">
        <v>187</v>
      </c>
      <c r="J24" s="59" t="s">
        <v>116</v>
      </c>
      <c r="K24" s="57" t="s">
        <v>259</v>
      </c>
      <c r="L24" s="61"/>
      <c r="M24" s="62">
        <v>1.0</v>
      </c>
      <c r="N24" s="63"/>
    </row>
    <row r="25" ht="45.0" customHeight="1">
      <c r="B25" s="80" t="s">
        <v>260</v>
      </c>
      <c r="C25" s="81" t="s">
        <v>261</v>
      </c>
      <c r="D25" s="82" t="s">
        <v>262</v>
      </c>
      <c r="E25" s="83" t="s">
        <v>263</v>
      </c>
      <c r="F25" s="83" t="s">
        <v>179</v>
      </c>
      <c r="G25" s="84" t="s">
        <v>101</v>
      </c>
      <c r="H25" s="85" t="s">
        <v>264</v>
      </c>
      <c r="I25" s="85"/>
      <c r="J25" s="84" t="s">
        <v>112</v>
      </c>
      <c r="K25" s="82" t="s">
        <v>265</v>
      </c>
      <c r="L25" s="86"/>
      <c r="M25" s="87">
        <v>8.0</v>
      </c>
      <c r="N25" s="63" t="s">
        <v>266</v>
      </c>
    </row>
    <row r="26" ht="15.75" customHeight="1"/>
    <row r="27" ht="18.0" customHeight="1">
      <c r="B27" s="54" t="s">
        <v>267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3"/>
    </row>
    <row r="28" ht="45.0" customHeight="1">
      <c r="B28" s="80" t="s">
        <v>268</v>
      </c>
      <c r="C28" s="81" t="s">
        <v>269</v>
      </c>
      <c r="D28" s="82" t="s">
        <v>270</v>
      </c>
      <c r="E28" s="83" t="s">
        <v>271</v>
      </c>
      <c r="F28" s="83" t="s">
        <v>179</v>
      </c>
      <c r="G28" s="84" t="s">
        <v>101</v>
      </c>
      <c r="H28" s="85" t="s">
        <v>180</v>
      </c>
      <c r="I28" s="85"/>
      <c r="J28" s="84" t="s">
        <v>112</v>
      </c>
      <c r="K28" s="82" t="s">
        <v>272</v>
      </c>
      <c r="L28" s="86"/>
      <c r="M28" s="87">
        <v>1.0</v>
      </c>
      <c r="N28" s="63" t="s">
        <v>273</v>
      </c>
    </row>
    <row r="29" ht="45.0" customHeight="1">
      <c r="B29" s="72" t="s">
        <v>274</v>
      </c>
      <c r="C29" s="73" t="s">
        <v>275</v>
      </c>
      <c r="D29" s="74" t="s">
        <v>276</v>
      </c>
      <c r="E29" s="75" t="s">
        <v>271</v>
      </c>
      <c r="F29" s="75" t="s">
        <v>179</v>
      </c>
      <c r="G29" s="76" t="s">
        <v>101</v>
      </c>
      <c r="H29" s="77" t="s">
        <v>180</v>
      </c>
      <c r="I29" s="77"/>
      <c r="J29" s="76" t="s">
        <v>112</v>
      </c>
      <c r="K29" s="74" t="s">
        <v>277</v>
      </c>
      <c r="L29" s="78"/>
      <c r="M29" s="79">
        <v>1.0</v>
      </c>
      <c r="N29" s="63" t="s">
        <v>278</v>
      </c>
    </row>
    <row r="30" ht="45.0" customHeight="1">
      <c r="B30" s="55" t="s">
        <v>279</v>
      </c>
      <c r="C30" s="56" t="s">
        <v>280</v>
      </c>
      <c r="D30" s="57" t="s">
        <v>281</v>
      </c>
      <c r="E30" s="58" t="s">
        <v>271</v>
      </c>
      <c r="F30" s="58" t="s">
        <v>205</v>
      </c>
      <c r="G30" s="59" t="s">
        <v>105</v>
      </c>
      <c r="H30" s="60" t="s">
        <v>231</v>
      </c>
      <c r="I30" s="60" t="s">
        <v>282</v>
      </c>
      <c r="J30" s="59" t="s">
        <v>114</v>
      </c>
      <c r="K30" s="57" t="s">
        <v>283</v>
      </c>
      <c r="L30" s="88" t="s">
        <v>284</v>
      </c>
      <c r="M30" s="62">
        <v>4.0</v>
      </c>
      <c r="N30" s="63" t="s">
        <v>285</v>
      </c>
    </row>
    <row r="31" ht="45.0" customHeight="1">
      <c r="B31" s="64" t="s">
        <v>286</v>
      </c>
      <c r="C31" s="65" t="s">
        <v>287</v>
      </c>
      <c r="D31" s="66" t="s">
        <v>288</v>
      </c>
      <c r="E31" s="67" t="s">
        <v>271</v>
      </c>
      <c r="F31" s="67" t="s">
        <v>205</v>
      </c>
      <c r="G31" s="68" t="s">
        <v>103</v>
      </c>
      <c r="H31" s="69" t="s">
        <v>231</v>
      </c>
      <c r="I31" s="69"/>
      <c r="J31" s="68" t="s">
        <v>114</v>
      </c>
      <c r="K31" s="66" t="s">
        <v>289</v>
      </c>
      <c r="L31" s="70"/>
      <c r="M31" s="71">
        <v>4.0</v>
      </c>
      <c r="N31" s="63" t="s">
        <v>290</v>
      </c>
    </row>
    <row r="32" ht="45.0" customHeight="1">
      <c r="B32" s="80" t="s">
        <v>291</v>
      </c>
      <c r="C32" s="81" t="s">
        <v>292</v>
      </c>
      <c r="D32" s="82" t="s">
        <v>293</v>
      </c>
      <c r="E32" s="83" t="s">
        <v>271</v>
      </c>
      <c r="F32" s="83" t="s">
        <v>205</v>
      </c>
      <c r="G32" s="84" t="s">
        <v>101</v>
      </c>
      <c r="H32" s="85" t="s">
        <v>264</v>
      </c>
      <c r="I32" s="85"/>
      <c r="J32" s="84" t="s">
        <v>116</v>
      </c>
      <c r="K32" s="82" t="s">
        <v>294</v>
      </c>
      <c r="L32" s="86"/>
      <c r="M32" s="87">
        <v>3.0</v>
      </c>
      <c r="N32" s="63" t="s">
        <v>295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N1"/>
    <mergeCell ref="B2:N2"/>
    <mergeCell ref="B3:N3"/>
    <mergeCell ref="B6:N6"/>
    <mergeCell ref="B13:N13"/>
    <mergeCell ref="B20:N20"/>
    <mergeCell ref="B27:N27"/>
  </mergeCells>
  <hyperlinks>
    <hyperlink r:id="rId1" ref="L30"/>
  </hyperlinks>
  <printOptions/>
  <pageMargins bottom="1.0" footer="0.0" header="0.0" left="0.75" right="0.75" top="1.0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3.0"/>
    <col customWidth="1" min="2" max="2" width="8.0"/>
    <col customWidth="1" min="3" max="3" width="30.0"/>
    <col customWidth="1" min="4" max="4" width="58.0"/>
    <col customWidth="1" min="5" max="5" width="18.0"/>
    <col customWidth="1" min="6" max="7" width="14.0"/>
    <col customWidth="1" min="8" max="8" width="12.0"/>
    <col customWidth="1" min="9" max="9" width="10.0"/>
    <col customWidth="1" min="10" max="11" width="35.0"/>
    <col customWidth="1" min="12" max="26" width="8.71"/>
  </cols>
  <sheetData>
    <row r="1" ht="27.75" customHeight="1">
      <c r="B1" s="89" t="s">
        <v>296</v>
      </c>
      <c r="C1" s="2"/>
      <c r="D1" s="2"/>
      <c r="E1" s="2"/>
      <c r="F1" s="2"/>
      <c r="G1" s="2"/>
      <c r="H1" s="2"/>
      <c r="I1" s="2"/>
      <c r="J1" s="2"/>
      <c r="K1" s="3"/>
    </row>
    <row r="2" ht="15.75" customHeight="1">
      <c r="B2" s="90" t="s">
        <v>297</v>
      </c>
      <c r="C2" s="2"/>
      <c r="D2" s="2"/>
      <c r="E2" s="2"/>
      <c r="F2" s="2"/>
      <c r="G2" s="2"/>
      <c r="H2" s="2"/>
      <c r="I2" s="2"/>
      <c r="J2" s="2"/>
      <c r="K2" s="3"/>
    </row>
    <row r="4" ht="25.5" customHeight="1">
      <c r="B4" s="91" t="s">
        <v>298</v>
      </c>
      <c r="C4" s="2"/>
      <c r="D4" s="2"/>
      <c r="E4" s="2"/>
      <c r="F4" s="2"/>
      <c r="G4" s="2"/>
      <c r="H4" s="2"/>
      <c r="I4" s="2"/>
      <c r="J4" s="2"/>
      <c r="K4" s="3"/>
    </row>
    <row r="5" ht="69.0" customHeight="1">
      <c r="B5" s="92" t="s">
        <v>299</v>
      </c>
      <c r="C5" s="2"/>
      <c r="D5" s="2"/>
      <c r="E5" s="2"/>
      <c r="F5" s="2"/>
      <c r="G5" s="2"/>
      <c r="H5" s="2"/>
      <c r="I5" s="2"/>
      <c r="J5" s="2"/>
      <c r="K5" s="3"/>
    </row>
    <row r="7" ht="25.5" customHeight="1">
      <c r="B7" s="91" t="s">
        <v>300</v>
      </c>
      <c r="C7" s="2"/>
      <c r="D7" s="2"/>
      <c r="E7" s="2"/>
      <c r="F7" s="2"/>
      <c r="G7" s="2"/>
      <c r="H7" s="2"/>
      <c r="I7" s="2"/>
      <c r="J7" s="2"/>
      <c r="K7" s="3"/>
    </row>
    <row r="8" ht="21.75" customHeight="1">
      <c r="B8" s="93" t="s">
        <v>162</v>
      </c>
      <c r="C8" s="93" t="s">
        <v>163</v>
      </c>
      <c r="D8" s="93" t="s">
        <v>301</v>
      </c>
      <c r="E8" s="93" t="s">
        <v>302</v>
      </c>
      <c r="F8" s="93" t="s">
        <v>7</v>
      </c>
      <c r="G8" s="93" t="s">
        <v>167</v>
      </c>
      <c r="H8" s="93" t="s">
        <v>169</v>
      </c>
      <c r="I8" s="93" t="s">
        <v>172</v>
      </c>
      <c r="J8" s="93" t="s">
        <v>303</v>
      </c>
      <c r="K8" s="93" t="s">
        <v>173</v>
      </c>
    </row>
    <row r="9" ht="60.0" customHeight="1">
      <c r="B9" s="94" t="s">
        <v>304</v>
      </c>
      <c r="C9" s="95" t="s">
        <v>305</v>
      </c>
      <c r="D9" s="82" t="s">
        <v>306</v>
      </c>
      <c r="E9" s="83" t="s">
        <v>307</v>
      </c>
      <c r="F9" s="84" t="s">
        <v>101</v>
      </c>
      <c r="G9" s="85" t="s">
        <v>308</v>
      </c>
      <c r="H9" s="84" t="s">
        <v>112</v>
      </c>
      <c r="I9" s="96">
        <v>6.0</v>
      </c>
      <c r="J9" s="86" t="s">
        <v>309</v>
      </c>
      <c r="K9" s="63" t="s">
        <v>310</v>
      </c>
    </row>
    <row r="10" ht="60.0" customHeight="1">
      <c r="B10" s="97" t="s">
        <v>311</v>
      </c>
      <c r="C10" s="98" t="s">
        <v>312</v>
      </c>
      <c r="D10" s="74" t="s">
        <v>313</v>
      </c>
      <c r="E10" s="75" t="s">
        <v>307</v>
      </c>
      <c r="F10" s="76" t="s">
        <v>101</v>
      </c>
      <c r="G10" s="77" t="s">
        <v>314</v>
      </c>
      <c r="H10" s="76" t="s">
        <v>112</v>
      </c>
      <c r="I10" s="99">
        <v>4.0</v>
      </c>
      <c r="J10" s="78" t="s">
        <v>315</v>
      </c>
      <c r="K10" s="63" t="s">
        <v>316</v>
      </c>
    </row>
    <row r="11" ht="60.0" customHeight="1">
      <c r="B11" s="94" t="s">
        <v>317</v>
      </c>
      <c r="C11" s="95" t="s">
        <v>318</v>
      </c>
      <c r="D11" s="82" t="s">
        <v>319</v>
      </c>
      <c r="E11" s="83" t="s">
        <v>307</v>
      </c>
      <c r="F11" s="84" t="s">
        <v>101</v>
      </c>
      <c r="G11" s="85" t="s">
        <v>320</v>
      </c>
      <c r="H11" s="84" t="s">
        <v>112</v>
      </c>
      <c r="I11" s="96">
        <v>12.0</v>
      </c>
      <c r="J11" s="86" t="s">
        <v>321</v>
      </c>
      <c r="K11" s="63" t="s">
        <v>322</v>
      </c>
    </row>
    <row r="12" ht="60.0" customHeight="1">
      <c r="B12" s="97" t="s">
        <v>323</v>
      </c>
      <c r="C12" s="98" t="s">
        <v>324</v>
      </c>
      <c r="D12" s="74" t="s">
        <v>325</v>
      </c>
      <c r="E12" s="75" t="s">
        <v>307</v>
      </c>
      <c r="F12" s="76" t="s">
        <v>101</v>
      </c>
      <c r="G12" s="77" t="s">
        <v>326</v>
      </c>
      <c r="H12" s="76" t="s">
        <v>112</v>
      </c>
      <c r="I12" s="99">
        <v>20.0</v>
      </c>
      <c r="J12" s="78" t="s">
        <v>327</v>
      </c>
      <c r="K12" s="63" t="s">
        <v>328</v>
      </c>
    </row>
    <row r="13" ht="60.0" customHeight="1">
      <c r="B13" s="94" t="s">
        <v>329</v>
      </c>
      <c r="C13" s="95" t="s">
        <v>330</v>
      </c>
      <c r="D13" s="82" t="s">
        <v>331</v>
      </c>
      <c r="E13" s="83" t="s">
        <v>307</v>
      </c>
      <c r="F13" s="84" t="s">
        <v>101</v>
      </c>
      <c r="G13" s="85" t="s">
        <v>332</v>
      </c>
      <c r="H13" s="84" t="s">
        <v>114</v>
      </c>
      <c r="I13" s="96">
        <v>10.0</v>
      </c>
      <c r="J13" s="86" t="s">
        <v>333</v>
      </c>
      <c r="K13" s="63" t="s">
        <v>334</v>
      </c>
    </row>
    <row r="14" ht="60.0" customHeight="1">
      <c r="B14" s="97" t="s">
        <v>335</v>
      </c>
      <c r="C14" s="98" t="s">
        <v>336</v>
      </c>
      <c r="D14" s="74" t="s">
        <v>337</v>
      </c>
      <c r="E14" s="75" t="s">
        <v>307</v>
      </c>
      <c r="F14" s="76" t="s">
        <v>101</v>
      </c>
      <c r="G14" s="77" t="s">
        <v>338</v>
      </c>
      <c r="H14" s="76" t="s">
        <v>114</v>
      </c>
      <c r="I14" s="99">
        <v>12.0</v>
      </c>
      <c r="J14" s="78" t="s">
        <v>339</v>
      </c>
      <c r="K14" s="63" t="s">
        <v>340</v>
      </c>
    </row>
    <row r="15" ht="60.0" customHeight="1">
      <c r="B15" s="94" t="s">
        <v>341</v>
      </c>
      <c r="C15" s="95" t="s">
        <v>342</v>
      </c>
      <c r="D15" s="82" t="s">
        <v>343</v>
      </c>
      <c r="E15" s="83" t="s">
        <v>307</v>
      </c>
      <c r="F15" s="84" t="s">
        <v>101</v>
      </c>
      <c r="G15" s="85" t="s">
        <v>344</v>
      </c>
      <c r="H15" s="84" t="s">
        <v>112</v>
      </c>
      <c r="I15" s="96">
        <v>6.0</v>
      </c>
      <c r="J15" s="86" t="s">
        <v>345</v>
      </c>
      <c r="K15" s="63" t="s">
        <v>346</v>
      </c>
    </row>
    <row r="16" ht="60.0" customHeight="1">
      <c r="B16" s="97" t="s">
        <v>347</v>
      </c>
      <c r="C16" s="98" t="s">
        <v>348</v>
      </c>
      <c r="D16" s="74" t="s">
        <v>349</v>
      </c>
      <c r="E16" s="75" t="s">
        <v>350</v>
      </c>
      <c r="F16" s="76" t="s">
        <v>101</v>
      </c>
      <c r="G16" s="77" t="s">
        <v>351</v>
      </c>
      <c r="H16" s="76" t="s">
        <v>112</v>
      </c>
      <c r="I16" s="99">
        <v>16.0</v>
      </c>
      <c r="J16" s="78" t="s">
        <v>352</v>
      </c>
      <c r="K16" s="63" t="s">
        <v>353</v>
      </c>
    </row>
    <row r="17" ht="60.0" customHeight="1">
      <c r="B17" s="94" t="s">
        <v>354</v>
      </c>
      <c r="C17" s="95" t="s">
        <v>355</v>
      </c>
      <c r="D17" s="82" t="s">
        <v>356</v>
      </c>
      <c r="E17" s="83" t="s">
        <v>350</v>
      </c>
      <c r="F17" s="84" t="s">
        <v>101</v>
      </c>
      <c r="G17" s="85" t="s">
        <v>338</v>
      </c>
      <c r="H17" s="84" t="s">
        <v>112</v>
      </c>
      <c r="I17" s="96">
        <v>20.0</v>
      </c>
      <c r="J17" s="86" t="s">
        <v>357</v>
      </c>
      <c r="K17" s="63" t="s">
        <v>358</v>
      </c>
    </row>
    <row r="18" ht="60.0" customHeight="1">
      <c r="B18" s="97" t="s">
        <v>359</v>
      </c>
      <c r="C18" s="98" t="s">
        <v>360</v>
      </c>
      <c r="D18" s="74" t="s">
        <v>361</v>
      </c>
      <c r="E18" s="75" t="s">
        <v>350</v>
      </c>
      <c r="F18" s="76" t="s">
        <v>101</v>
      </c>
      <c r="G18" s="77" t="s">
        <v>362</v>
      </c>
      <c r="H18" s="76" t="s">
        <v>114</v>
      </c>
      <c r="I18" s="99">
        <v>16.0</v>
      </c>
      <c r="J18" s="78" t="s">
        <v>363</v>
      </c>
      <c r="K18" s="63" t="s">
        <v>364</v>
      </c>
    </row>
    <row r="19" ht="60.0" customHeight="1">
      <c r="B19" s="94" t="s">
        <v>365</v>
      </c>
      <c r="C19" s="95" t="s">
        <v>366</v>
      </c>
      <c r="D19" s="82" t="s">
        <v>367</v>
      </c>
      <c r="E19" s="83" t="s">
        <v>350</v>
      </c>
      <c r="F19" s="84" t="s">
        <v>101</v>
      </c>
      <c r="G19" s="85" t="s">
        <v>344</v>
      </c>
      <c r="H19" s="84" t="s">
        <v>112</v>
      </c>
      <c r="I19" s="96">
        <v>16.0</v>
      </c>
      <c r="J19" s="86" t="s">
        <v>368</v>
      </c>
      <c r="K19" s="63" t="s">
        <v>369</v>
      </c>
    </row>
    <row r="20" ht="60.0" customHeight="1">
      <c r="B20" s="97" t="s">
        <v>370</v>
      </c>
      <c r="C20" s="98" t="s">
        <v>371</v>
      </c>
      <c r="D20" s="74" t="s">
        <v>372</v>
      </c>
      <c r="E20" s="75" t="s">
        <v>373</v>
      </c>
      <c r="F20" s="76" t="s">
        <v>101</v>
      </c>
      <c r="G20" s="77" t="s">
        <v>374</v>
      </c>
      <c r="H20" s="76" t="s">
        <v>114</v>
      </c>
      <c r="I20" s="99">
        <v>12.0</v>
      </c>
      <c r="J20" s="78"/>
      <c r="K20" s="63" t="s">
        <v>375</v>
      </c>
    </row>
    <row r="21" ht="60.0" customHeight="1">
      <c r="B21" s="94" t="s">
        <v>376</v>
      </c>
      <c r="C21" s="95" t="s">
        <v>377</v>
      </c>
      <c r="D21" s="82" t="s">
        <v>378</v>
      </c>
      <c r="E21" s="83" t="s">
        <v>379</v>
      </c>
      <c r="F21" s="84" t="s">
        <v>101</v>
      </c>
      <c r="G21" s="85" t="s">
        <v>66</v>
      </c>
      <c r="H21" s="84" t="s">
        <v>114</v>
      </c>
      <c r="I21" s="96">
        <v>8.0</v>
      </c>
      <c r="J21" s="86" t="s">
        <v>380</v>
      </c>
      <c r="K21" s="63" t="s">
        <v>381</v>
      </c>
    </row>
    <row r="22" ht="15.75" customHeight="1"/>
    <row r="23" ht="15.75" customHeight="1"/>
    <row r="24" ht="25.5" customHeight="1">
      <c r="B24" s="91" t="s">
        <v>382</v>
      </c>
      <c r="C24" s="2"/>
      <c r="D24" s="2"/>
      <c r="E24" s="2"/>
      <c r="F24" s="2"/>
      <c r="G24" s="2"/>
      <c r="H24" s="2"/>
      <c r="I24" s="2"/>
      <c r="J24" s="2"/>
      <c r="K24" s="3"/>
    </row>
    <row r="25" ht="180.0" customHeight="1">
      <c r="B25" s="6" t="s">
        <v>383</v>
      </c>
      <c r="C25" s="2"/>
      <c r="D25" s="2"/>
      <c r="E25" s="2"/>
      <c r="F25" s="2"/>
      <c r="G25" s="2"/>
      <c r="H25" s="2"/>
      <c r="I25" s="2"/>
      <c r="J25" s="2"/>
      <c r="K25" s="3"/>
    </row>
    <row r="26" ht="15.75" customHeight="1"/>
    <row r="27" ht="25.5" customHeight="1">
      <c r="B27" s="91" t="s">
        <v>384</v>
      </c>
      <c r="C27" s="2"/>
      <c r="D27" s="2"/>
      <c r="E27" s="2"/>
      <c r="F27" s="2"/>
      <c r="G27" s="2"/>
      <c r="H27" s="2"/>
      <c r="I27" s="2"/>
      <c r="J27" s="2"/>
      <c r="K27" s="3"/>
    </row>
    <row r="28" ht="403.5" customHeight="1">
      <c r="B28" s="100" t="s">
        <v>385</v>
      </c>
      <c r="C28" s="2"/>
      <c r="D28" s="2"/>
      <c r="E28" s="2"/>
      <c r="F28" s="2"/>
      <c r="G28" s="2"/>
      <c r="H28" s="2"/>
      <c r="I28" s="2"/>
      <c r="J28" s="2"/>
      <c r="K28" s="3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27:K27"/>
    <mergeCell ref="B28:K28"/>
    <mergeCell ref="B1:K1"/>
    <mergeCell ref="B2:K2"/>
    <mergeCell ref="B4:K4"/>
    <mergeCell ref="B5:K5"/>
    <mergeCell ref="B7:K7"/>
    <mergeCell ref="B24:K24"/>
    <mergeCell ref="B25:K25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3.0"/>
    <col customWidth="1" min="2" max="2" width="7.0"/>
    <col customWidth="1" min="3" max="3" width="28.0"/>
    <col customWidth="1" min="4" max="4" width="55.0"/>
    <col customWidth="1" min="5" max="5" width="18.0"/>
    <col customWidth="1" min="6" max="6" width="16.0"/>
    <col customWidth="1" min="7" max="7" width="14.0"/>
    <col customWidth="1" min="8" max="9" width="12.0"/>
    <col customWidth="1" min="10" max="10" width="14.0"/>
    <col customWidth="1" min="11" max="11" width="35.0"/>
    <col customWidth="1" min="12" max="12" width="21.14"/>
    <col customWidth="1" min="13" max="13" width="10.0"/>
    <col customWidth="1" min="14" max="14" width="35.0"/>
    <col customWidth="1" min="15" max="26" width="8.71"/>
  </cols>
  <sheetData>
    <row r="1" ht="27.75" customHeight="1">
      <c r="B1" s="19" t="s">
        <v>386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5.75" customHeight="1">
      <c r="B2" s="20" t="s">
        <v>387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34.5" customHeight="1">
      <c r="B3" s="51" t="s">
        <v>388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</row>
    <row r="4" ht="6.0" customHeight="1"/>
    <row r="5" ht="21.75" customHeight="1">
      <c r="B5" s="52" t="s">
        <v>162</v>
      </c>
      <c r="C5" s="52" t="s">
        <v>163</v>
      </c>
      <c r="D5" s="52" t="s">
        <v>164</v>
      </c>
      <c r="E5" s="52" t="s">
        <v>165</v>
      </c>
      <c r="F5" s="52" t="s">
        <v>166</v>
      </c>
      <c r="G5" s="52" t="s">
        <v>7</v>
      </c>
      <c r="H5" s="52" t="s">
        <v>167</v>
      </c>
      <c r="I5" s="52" t="s">
        <v>168</v>
      </c>
      <c r="J5" s="52" t="s">
        <v>169</v>
      </c>
      <c r="K5" s="52" t="s">
        <v>170</v>
      </c>
      <c r="L5" s="52" t="s">
        <v>171</v>
      </c>
      <c r="M5" s="52" t="s">
        <v>172</v>
      </c>
      <c r="N5" s="53" t="s">
        <v>173</v>
      </c>
    </row>
    <row r="6" ht="18.0" customHeight="1">
      <c r="B6" s="54" t="s">
        <v>389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/>
    </row>
    <row r="7" ht="45.0" customHeight="1">
      <c r="B7" s="64" t="s">
        <v>390</v>
      </c>
      <c r="C7" s="65" t="s">
        <v>391</v>
      </c>
      <c r="D7" s="66" t="s">
        <v>392</v>
      </c>
      <c r="E7" s="67" t="s">
        <v>393</v>
      </c>
      <c r="F7" s="67" t="s">
        <v>179</v>
      </c>
      <c r="G7" s="68" t="s">
        <v>103</v>
      </c>
      <c r="H7" s="69" t="s">
        <v>394</v>
      </c>
      <c r="I7" s="69"/>
      <c r="J7" s="68" t="s">
        <v>112</v>
      </c>
      <c r="K7" s="66" t="s">
        <v>395</v>
      </c>
      <c r="L7" s="70"/>
      <c r="M7" s="71">
        <v>2.0</v>
      </c>
      <c r="N7" s="63" t="s">
        <v>396</v>
      </c>
    </row>
    <row r="8" ht="45.0" customHeight="1">
      <c r="B8" s="55" t="s">
        <v>397</v>
      </c>
      <c r="C8" s="56" t="s">
        <v>398</v>
      </c>
      <c r="D8" s="57" t="s">
        <v>399</v>
      </c>
      <c r="E8" s="58" t="s">
        <v>393</v>
      </c>
      <c r="F8" s="58" t="s">
        <v>400</v>
      </c>
      <c r="G8" s="59" t="s">
        <v>105</v>
      </c>
      <c r="H8" s="60" t="s">
        <v>264</v>
      </c>
      <c r="I8" s="60" t="s">
        <v>188</v>
      </c>
      <c r="J8" s="59" t="s">
        <v>112</v>
      </c>
      <c r="K8" s="57" t="s">
        <v>401</v>
      </c>
      <c r="L8" s="61"/>
      <c r="M8" s="62">
        <v>3.0</v>
      </c>
      <c r="N8" s="63" t="s">
        <v>402</v>
      </c>
    </row>
    <row r="9" ht="45.0" customHeight="1">
      <c r="B9" s="55" t="s">
        <v>403</v>
      </c>
      <c r="C9" s="56" t="s">
        <v>404</v>
      </c>
      <c r="D9" s="57" t="s">
        <v>405</v>
      </c>
      <c r="E9" s="58" t="s">
        <v>393</v>
      </c>
      <c r="F9" s="58" t="s">
        <v>400</v>
      </c>
      <c r="G9" s="59" t="s">
        <v>105</v>
      </c>
      <c r="H9" s="60" t="s">
        <v>264</v>
      </c>
      <c r="I9" s="60" t="s">
        <v>188</v>
      </c>
      <c r="J9" s="59" t="s">
        <v>112</v>
      </c>
      <c r="K9" s="57" t="s">
        <v>406</v>
      </c>
      <c r="L9" s="61"/>
      <c r="M9" s="62">
        <v>3.0</v>
      </c>
      <c r="N9" s="63" t="s">
        <v>407</v>
      </c>
    </row>
    <row r="10" ht="58.5" customHeight="1">
      <c r="B10" s="72" t="s">
        <v>408</v>
      </c>
      <c r="C10" s="101" t="s">
        <v>409</v>
      </c>
      <c r="D10" s="74" t="s">
        <v>410</v>
      </c>
      <c r="E10" s="75" t="s">
        <v>393</v>
      </c>
      <c r="F10" s="75" t="s">
        <v>179</v>
      </c>
      <c r="G10" s="76" t="s">
        <v>101</v>
      </c>
      <c r="H10" s="77" t="s">
        <v>282</v>
      </c>
      <c r="I10" s="77"/>
      <c r="J10" s="76" t="s">
        <v>112</v>
      </c>
      <c r="K10" s="74" t="s">
        <v>411</v>
      </c>
      <c r="L10" s="78"/>
      <c r="M10" s="79">
        <v>2.0</v>
      </c>
      <c r="N10" s="63" t="s">
        <v>412</v>
      </c>
    </row>
    <row r="11" ht="45.0" customHeight="1">
      <c r="B11" s="80" t="s">
        <v>413</v>
      </c>
      <c r="C11" s="81" t="s">
        <v>414</v>
      </c>
      <c r="D11" s="82" t="s">
        <v>415</v>
      </c>
      <c r="E11" s="83" t="s">
        <v>393</v>
      </c>
      <c r="F11" s="83" t="s">
        <v>416</v>
      </c>
      <c r="G11" s="84" t="s">
        <v>101</v>
      </c>
      <c r="H11" s="85" t="s">
        <v>282</v>
      </c>
      <c r="I11" s="85"/>
      <c r="J11" s="84" t="s">
        <v>112</v>
      </c>
      <c r="K11" s="82" t="s">
        <v>417</v>
      </c>
      <c r="L11" s="86"/>
      <c r="M11" s="87">
        <v>2.0</v>
      </c>
      <c r="N11" s="63" t="s">
        <v>418</v>
      </c>
    </row>
    <row r="12" ht="45.0" customHeight="1">
      <c r="B12" s="55" t="s">
        <v>419</v>
      </c>
      <c r="C12" s="56" t="s">
        <v>420</v>
      </c>
      <c r="D12" s="57" t="s">
        <v>421</v>
      </c>
      <c r="E12" s="58" t="s">
        <v>393</v>
      </c>
      <c r="F12" s="58" t="s">
        <v>422</v>
      </c>
      <c r="G12" s="59" t="s">
        <v>105</v>
      </c>
      <c r="H12" s="60" t="s">
        <v>423</v>
      </c>
      <c r="I12" s="60" t="s">
        <v>188</v>
      </c>
      <c r="J12" s="59" t="s">
        <v>114</v>
      </c>
      <c r="K12" s="57" t="s">
        <v>424</v>
      </c>
      <c r="L12" s="61"/>
      <c r="M12" s="62">
        <v>3.0</v>
      </c>
      <c r="N12" s="63" t="s">
        <v>425</v>
      </c>
    </row>
    <row r="13" ht="45.0" customHeight="1">
      <c r="B13" s="55" t="s">
        <v>426</v>
      </c>
      <c r="C13" s="56" t="s">
        <v>427</v>
      </c>
      <c r="D13" s="57" t="s">
        <v>428</v>
      </c>
      <c r="E13" s="58" t="s">
        <v>393</v>
      </c>
      <c r="F13" s="58" t="s">
        <v>422</v>
      </c>
      <c r="G13" s="59" t="s">
        <v>105</v>
      </c>
      <c r="H13" s="60" t="s">
        <v>423</v>
      </c>
      <c r="I13" s="60" t="s">
        <v>188</v>
      </c>
      <c r="J13" s="59" t="s">
        <v>114</v>
      </c>
      <c r="K13" s="57" t="s">
        <v>429</v>
      </c>
      <c r="L13" s="61"/>
      <c r="M13" s="62">
        <v>3.0</v>
      </c>
      <c r="N13" s="63" t="s">
        <v>430</v>
      </c>
    </row>
    <row r="14" ht="45.0" customHeight="1">
      <c r="B14" s="64" t="s">
        <v>431</v>
      </c>
      <c r="C14" s="65" t="s">
        <v>432</v>
      </c>
      <c r="D14" s="66" t="s">
        <v>433</v>
      </c>
      <c r="E14" s="67" t="s">
        <v>393</v>
      </c>
      <c r="F14" s="67" t="s">
        <v>434</v>
      </c>
      <c r="G14" s="68" t="s">
        <v>103</v>
      </c>
      <c r="H14" s="69" t="s">
        <v>435</v>
      </c>
      <c r="I14" s="69"/>
      <c r="J14" s="68" t="s">
        <v>112</v>
      </c>
      <c r="K14" s="66" t="s">
        <v>436</v>
      </c>
      <c r="L14" s="70"/>
      <c r="M14" s="71">
        <v>1.0</v>
      </c>
      <c r="N14" s="63"/>
    </row>
    <row r="16" ht="18.0" customHeight="1">
      <c r="B16" s="54" t="s">
        <v>437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3"/>
    </row>
    <row r="17" ht="45.0" customHeight="1">
      <c r="B17" s="64" t="s">
        <v>438</v>
      </c>
      <c r="C17" s="65" t="s">
        <v>439</v>
      </c>
      <c r="D17" s="66" t="s">
        <v>440</v>
      </c>
      <c r="E17" s="67" t="s">
        <v>441</v>
      </c>
      <c r="F17" s="67" t="s">
        <v>179</v>
      </c>
      <c r="G17" s="68" t="s">
        <v>103</v>
      </c>
      <c r="H17" s="69" t="s">
        <v>51</v>
      </c>
      <c r="I17" s="69"/>
      <c r="J17" s="68" t="s">
        <v>112</v>
      </c>
      <c r="K17" s="66" t="s">
        <v>442</v>
      </c>
      <c r="L17" s="70"/>
      <c r="M17" s="71">
        <v>2.0</v>
      </c>
      <c r="N17" s="63" t="s">
        <v>443</v>
      </c>
    </row>
    <row r="18" ht="45.0" customHeight="1">
      <c r="B18" s="72" t="s">
        <v>444</v>
      </c>
      <c r="C18" s="73" t="s">
        <v>445</v>
      </c>
      <c r="D18" s="74" t="s">
        <v>446</v>
      </c>
      <c r="E18" s="75" t="s">
        <v>441</v>
      </c>
      <c r="F18" s="75" t="s">
        <v>447</v>
      </c>
      <c r="G18" s="76" t="s">
        <v>101</v>
      </c>
      <c r="H18" s="77" t="s">
        <v>394</v>
      </c>
      <c r="I18" s="77"/>
      <c r="J18" s="76" t="s">
        <v>112</v>
      </c>
      <c r="K18" s="74" t="s">
        <v>448</v>
      </c>
      <c r="L18" s="78"/>
      <c r="M18" s="79">
        <v>2.0</v>
      </c>
      <c r="N18" s="63"/>
    </row>
    <row r="19" ht="45.0" customHeight="1">
      <c r="B19" s="80" t="s">
        <v>449</v>
      </c>
      <c r="C19" s="81" t="s">
        <v>450</v>
      </c>
      <c r="D19" s="82" t="s">
        <v>451</v>
      </c>
      <c r="E19" s="83" t="s">
        <v>441</v>
      </c>
      <c r="F19" s="83" t="s">
        <v>447</v>
      </c>
      <c r="G19" s="84" t="s">
        <v>101</v>
      </c>
      <c r="H19" s="85" t="s">
        <v>452</v>
      </c>
      <c r="I19" s="85"/>
      <c r="J19" s="84" t="s">
        <v>112</v>
      </c>
      <c r="K19" s="82" t="s">
        <v>453</v>
      </c>
      <c r="L19" s="86"/>
      <c r="M19" s="87">
        <v>2.0</v>
      </c>
      <c r="N19" s="63" t="s">
        <v>454</v>
      </c>
    </row>
    <row r="20" ht="45.0" customHeight="1">
      <c r="B20" s="55" t="s">
        <v>455</v>
      </c>
      <c r="C20" s="56" t="s">
        <v>456</v>
      </c>
      <c r="D20" s="57" t="s">
        <v>457</v>
      </c>
      <c r="E20" s="58" t="s">
        <v>441</v>
      </c>
      <c r="F20" s="58" t="s">
        <v>205</v>
      </c>
      <c r="G20" s="102" t="s">
        <v>101</v>
      </c>
      <c r="H20" s="60" t="s">
        <v>55</v>
      </c>
      <c r="I20" s="60" t="s">
        <v>282</v>
      </c>
      <c r="J20" s="59" t="s">
        <v>114</v>
      </c>
      <c r="K20" s="57" t="s">
        <v>458</v>
      </c>
      <c r="L20" s="88" t="s">
        <v>459</v>
      </c>
      <c r="M20" s="62">
        <v>3.0</v>
      </c>
      <c r="N20" s="63"/>
    </row>
    <row r="21" ht="45.0" customHeight="1">
      <c r="B21" s="80" t="s">
        <v>460</v>
      </c>
      <c r="C21" s="81" t="s">
        <v>461</v>
      </c>
      <c r="D21" s="82" t="s">
        <v>462</v>
      </c>
      <c r="E21" s="83" t="s">
        <v>441</v>
      </c>
      <c r="F21" s="83" t="s">
        <v>463</v>
      </c>
      <c r="G21" s="84" t="s">
        <v>101</v>
      </c>
      <c r="H21" s="85" t="s">
        <v>452</v>
      </c>
      <c r="I21" s="85"/>
      <c r="J21" s="84" t="s">
        <v>116</v>
      </c>
      <c r="K21" s="82" t="s">
        <v>464</v>
      </c>
      <c r="L21" s="86"/>
      <c r="M21" s="87">
        <v>3.0</v>
      </c>
      <c r="N21" s="63" t="s">
        <v>465</v>
      </c>
    </row>
    <row r="22" ht="15.75" customHeight="1"/>
    <row r="23" ht="18.0" customHeight="1">
      <c r="B23" s="54" t="s">
        <v>466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3"/>
    </row>
    <row r="24" ht="45.0" customHeight="1">
      <c r="B24" s="80" t="s">
        <v>467</v>
      </c>
      <c r="C24" s="81" t="s">
        <v>468</v>
      </c>
      <c r="D24" s="82" t="s">
        <v>469</v>
      </c>
      <c r="E24" s="83" t="s">
        <v>470</v>
      </c>
      <c r="F24" s="83" t="s">
        <v>205</v>
      </c>
      <c r="G24" s="84" t="s">
        <v>101</v>
      </c>
      <c r="H24" s="85" t="s">
        <v>471</v>
      </c>
      <c r="I24" s="85"/>
      <c r="J24" s="84" t="s">
        <v>114</v>
      </c>
      <c r="K24" s="82" t="s">
        <v>472</v>
      </c>
      <c r="L24" s="86"/>
      <c r="M24" s="87">
        <v>3.0</v>
      </c>
      <c r="N24" s="63" t="s">
        <v>473</v>
      </c>
    </row>
    <row r="25" ht="45.0" customHeight="1">
      <c r="B25" s="72" t="s">
        <v>474</v>
      </c>
      <c r="C25" s="73" t="s">
        <v>475</v>
      </c>
      <c r="D25" s="74" t="s">
        <v>476</v>
      </c>
      <c r="E25" s="75" t="s">
        <v>470</v>
      </c>
      <c r="F25" s="75" t="s">
        <v>186</v>
      </c>
      <c r="G25" s="76" t="s">
        <v>101</v>
      </c>
      <c r="H25" s="77" t="s">
        <v>471</v>
      </c>
      <c r="I25" s="77"/>
      <c r="J25" s="76" t="s">
        <v>114</v>
      </c>
      <c r="K25" s="74" t="s">
        <v>477</v>
      </c>
      <c r="L25" s="78"/>
      <c r="M25" s="79">
        <v>2.0</v>
      </c>
      <c r="N25" s="63" t="s">
        <v>478</v>
      </c>
    </row>
    <row r="26" ht="45.0" customHeight="1">
      <c r="B26" s="80" t="s">
        <v>479</v>
      </c>
      <c r="C26" s="81" t="s">
        <v>480</v>
      </c>
      <c r="D26" s="82" t="s">
        <v>481</v>
      </c>
      <c r="E26" s="83" t="s">
        <v>470</v>
      </c>
      <c r="F26" s="83" t="s">
        <v>179</v>
      </c>
      <c r="G26" s="84" t="s">
        <v>101</v>
      </c>
      <c r="H26" s="85" t="s">
        <v>423</v>
      </c>
      <c r="I26" s="85"/>
      <c r="J26" s="84" t="s">
        <v>114</v>
      </c>
      <c r="K26" s="82" t="s">
        <v>482</v>
      </c>
      <c r="L26" s="86"/>
      <c r="M26" s="87">
        <v>3.0</v>
      </c>
      <c r="N26" s="63" t="s">
        <v>483</v>
      </c>
    </row>
    <row r="27" ht="45.0" customHeight="1">
      <c r="B27" s="72" t="s">
        <v>484</v>
      </c>
      <c r="C27" s="73" t="s">
        <v>485</v>
      </c>
      <c r="D27" s="74" t="s">
        <v>486</v>
      </c>
      <c r="E27" s="75" t="s">
        <v>470</v>
      </c>
      <c r="F27" s="75" t="s">
        <v>205</v>
      </c>
      <c r="G27" s="76" t="s">
        <v>101</v>
      </c>
      <c r="H27" s="77" t="s">
        <v>423</v>
      </c>
      <c r="I27" s="77"/>
      <c r="J27" s="76" t="s">
        <v>116</v>
      </c>
      <c r="K27" s="74" t="s">
        <v>487</v>
      </c>
      <c r="L27" s="78"/>
      <c r="M27" s="79">
        <v>2.0</v>
      </c>
      <c r="N27" s="63" t="s">
        <v>488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N1"/>
    <mergeCell ref="B2:N2"/>
    <mergeCell ref="B3:N3"/>
    <mergeCell ref="B6:N6"/>
    <mergeCell ref="B16:N16"/>
    <mergeCell ref="B23:N23"/>
  </mergeCells>
  <hyperlinks>
    <hyperlink r:id="rId1" ref="L20"/>
  </hyperlinks>
  <printOptions/>
  <pageMargins bottom="1.0" footer="0.0" header="0.0" left="0.75" right="0.75" top="1.0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3.0"/>
    <col customWidth="1" min="2" max="2" width="7.0"/>
    <col customWidth="1" min="3" max="3" width="28.0"/>
    <col customWidth="1" min="4" max="4" width="55.0"/>
    <col customWidth="1" min="5" max="5" width="18.0"/>
    <col customWidth="1" min="6" max="6" width="16.0"/>
    <col customWidth="1" min="7" max="7" width="14.0"/>
    <col customWidth="1" min="8" max="9" width="12.0"/>
    <col customWidth="1" min="10" max="10" width="14.0"/>
    <col customWidth="1" min="11" max="12" width="35.0"/>
    <col customWidth="1" min="13" max="13" width="10.0"/>
    <col customWidth="1" min="14" max="14" width="35.0"/>
    <col customWidth="1" min="15" max="26" width="8.71"/>
  </cols>
  <sheetData>
    <row r="1" ht="27.75" customHeight="1">
      <c r="B1" s="19" t="s">
        <v>489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5.75" customHeight="1">
      <c r="B2" s="20" t="s">
        <v>490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34.5" customHeight="1">
      <c r="B3" s="51" t="s">
        <v>491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</row>
    <row r="4" ht="6.0" customHeight="1"/>
    <row r="5" ht="21.75" customHeight="1">
      <c r="B5" s="52" t="s">
        <v>162</v>
      </c>
      <c r="C5" s="52" t="s">
        <v>163</v>
      </c>
      <c r="D5" s="52" t="s">
        <v>164</v>
      </c>
      <c r="E5" s="52" t="s">
        <v>165</v>
      </c>
      <c r="F5" s="52" t="s">
        <v>166</v>
      </c>
      <c r="G5" s="52" t="s">
        <v>7</v>
      </c>
      <c r="H5" s="52" t="s">
        <v>167</v>
      </c>
      <c r="I5" s="52" t="s">
        <v>168</v>
      </c>
      <c r="J5" s="52" t="s">
        <v>169</v>
      </c>
      <c r="K5" s="52" t="s">
        <v>170</v>
      </c>
      <c r="L5" s="52" t="s">
        <v>171</v>
      </c>
      <c r="M5" s="52" t="s">
        <v>172</v>
      </c>
      <c r="N5" s="53" t="s">
        <v>173</v>
      </c>
    </row>
    <row r="6" ht="18.0" customHeight="1">
      <c r="B6" s="54" t="s">
        <v>492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/>
    </row>
    <row r="7" ht="45.0" customHeight="1">
      <c r="B7" s="80" t="s">
        <v>493</v>
      </c>
      <c r="C7" s="81" t="s">
        <v>494</v>
      </c>
      <c r="D7" s="82" t="s">
        <v>495</v>
      </c>
      <c r="E7" s="83" t="s">
        <v>496</v>
      </c>
      <c r="F7" s="83" t="s">
        <v>205</v>
      </c>
      <c r="G7" s="84" t="s">
        <v>101</v>
      </c>
      <c r="H7" s="85" t="s">
        <v>497</v>
      </c>
      <c r="I7" s="85"/>
      <c r="J7" s="84" t="s">
        <v>112</v>
      </c>
      <c r="K7" s="82" t="s">
        <v>498</v>
      </c>
      <c r="L7" s="86"/>
      <c r="M7" s="87">
        <v>3.0</v>
      </c>
      <c r="N7" s="63" t="s">
        <v>499</v>
      </c>
    </row>
    <row r="8" ht="45.0" customHeight="1">
      <c r="B8" s="72" t="s">
        <v>500</v>
      </c>
      <c r="C8" s="73" t="s">
        <v>501</v>
      </c>
      <c r="D8" s="74" t="s">
        <v>502</v>
      </c>
      <c r="E8" s="75" t="s">
        <v>496</v>
      </c>
      <c r="F8" s="75" t="s">
        <v>205</v>
      </c>
      <c r="G8" s="76" t="s">
        <v>101</v>
      </c>
      <c r="H8" s="77" t="s">
        <v>497</v>
      </c>
      <c r="I8" s="77"/>
      <c r="J8" s="76" t="s">
        <v>112</v>
      </c>
      <c r="K8" s="74" t="s">
        <v>503</v>
      </c>
      <c r="L8" s="78"/>
      <c r="M8" s="79">
        <v>2.0</v>
      </c>
      <c r="N8" s="63"/>
    </row>
    <row r="9" ht="45.0" customHeight="1">
      <c r="B9" s="80" t="s">
        <v>504</v>
      </c>
      <c r="C9" s="81" t="s">
        <v>505</v>
      </c>
      <c r="D9" s="82" t="s">
        <v>506</v>
      </c>
      <c r="E9" s="83" t="s">
        <v>496</v>
      </c>
      <c r="F9" s="83" t="s">
        <v>205</v>
      </c>
      <c r="G9" s="84" t="s">
        <v>101</v>
      </c>
      <c r="H9" s="85" t="s">
        <v>507</v>
      </c>
      <c r="I9" s="85"/>
      <c r="J9" s="84" t="s">
        <v>112</v>
      </c>
      <c r="K9" s="82" t="s">
        <v>508</v>
      </c>
      <c r="L9" s="86"/>
      <c r="M9" s="87">
        <v>4.0</v>
      </c>
      <c r="N9" s="63" t="s">
        <v>509</v>
      </c>
    </row>
    <row r="10" ht="45.0" customHeight="1">
      <c r="B10" s="72" t="s">
        <v>510</v>
      </c>
      <c r="C10" s="73" t="s">
        <v>511</v>
      </c>
      <c r="D10" s="74" t="s">
        <v>512</v>
      </c>
      <c r="E10" s="75" t="s">
        <v>496</v>
      </c>
      <c r="F10" s="75" t="s">
        <v>205</v>
      </c>
      <c r="G10" s="76" t="s">
        <v>101</v>
      </c>
      <c r="H10" s="77" t="s">
        <v>507</v>
      </c>
      <c r="I10" s="77"/>
      <c r="J10" s="76" t="s">
        <v>114</v>
      </c>
      <c r="K10" s="74" t="s">
        <v>513</v>
      </c>
      <c r="L10" s="78"/>
      <c r="M10" s="79">
        <v>2.0</v>
      </c>
      <c r="N10" s="63" t="s">
        <v>514</v>
      </c>
    </row>
    <row r="11" ht="45.0" customHeight="1">
      <c r="B11" s="80" t="s">
        <v>515</v>
      </c>
      <c r="C11" s="81" t="s">
        <v>516</v>
      </c>
      <c r="D11" s="82" t="s">
        <v>517</v>
      </c>
      <c r="E11" s="83" t="s">
        <v>496</v>
      </c>
      <c r="F11" s="83" t="s">
        <v>518</v>
      </c>
      <c r="G11" s="84" t="s">
        <v>101</v>
      </c>
      <c r="H11" s="85" t="s">
        <v>519</v>
      </c>
      <c r="I11" s="85"/>
      <c r="J11" s="84" t="s">
        <v>114</v>
      </c>
      <c r="K11" s="82" t="s">
        <v>520</v>
      </c>
      <c r="L11" s="86"/>
      <c r="M11" s="87">
        <v>6.0</v>
      </c>
      <c r="N11" s="63" t="s">
        <v>521</v>
      </c>
    </row>
    <row r="12" ht="45.0" customHeight="1">
      <c r="B12" s="72" t="s">
        <v>522</v>
      </c>
      <c r="C12" s="73" t="s">
        <v>523</v>
      </c>
      <c r="D12" s="74" t="s">
        <v>524</v>
      </c>
      <c r="E12" s="75" t="s">
        <v>496</v>
      </c>
      <c r="F12" s="75" t="s">
        <v>205</v>
      </c>
      <c r="G12" s="76" t="s">
        <v>101</v>
      </c>
      <c r="H12" s="77" t="s">
        <v>525</v>
      </c>
      <c r="I12" s="77"/>
      <c r="J12" s="76" t="s">
        <v>116</v>
      </c>
      <c r="K12" s="74" t="s">
        <v>526</v>
      </c>
      <c r="L12" s="78"/>
      <c r="M12" s="79">
        <v>2.0</v>
      </c>
      <c r="N12" s="63"/>
    </row>
    <row r="13" ht="45.0" customHeight="1">
      <c r="B13" s="80" t="s">
        <v>527</v>
      </c>
      <c r="C13" s="81" t="s">
        <v>528</v>
      </c>
      <c r="D13" s="82" t="s">
        <v>529</v>
      </c>
      <c r="E13" s="83" t="s">
        <v>496</v>
      </c>
      <c r="F13" s="83" t="s">
        <v>205</v>
      </c>
      <c r="G13" s="84" t="s">
        <v>101</v>
      </c>
      <c r="H13" s="85" t="s">
        <v>530</v>
      </c>
      <c r="I13" s="85"/>
      <c r="J13" s="84" t="s">
        <v>112</v>
      </c>
      <c r="K13" s="82" t="s">
        <v>531</v>
      </c>
      <c r="L13" s="86"/>
      <c r="M13" s="87">
        <v>2.0</v>
      </c>
      <c r="N13" s="63"/>
    </row>
    <row r="15" ht="18.0" customHeight="1">
      <c r="B15" s="54" t="s">
        <v>532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3"/>
    </row>
    <row r="16" ht="45.0" customHeight="1">
      <c r="B16" s="80" t="s">
        <v>533</v>
      </c>
      <c r="C16" s="81" t="s">
        <v>534</v>
      </c>
      <c r="D16" s="82" t="s">
        <v>535</v>
      </c>
      <c r="E16" s="83" t="s">
        <v>536</v>
      </c>
      <c r="F16" s="83" t="s">
        <v>186</v>
      </c>
      <c r="G16" s="84" t="s">
        <v>101</v>
      </c>
      <c r="H16" s="85" t="s">
        <v>537</v>
      </c>
      <c r="I16" s="85"/>
      <c r="J16" s="84" t="s">
        <v>112</v>
      </c>
      <c r="K16" s="82" t="s">
        <v>538</v>
      </c>
      <c r="L16" s="86"/>
      <c r="M16" s="87">
        <v>3.0</v>
      </c>
      <c r="N16" s="63" t="s">
        <v>539</v>
      </c>
    </row>
    <row r="17" ht="45.0" customHeight="1">
      <c r="B17" s="72" t="s">
        <v>540</v>
      </c>
      <c r="C17" s="73" t="s">
        <v>541</v>
      </c>
      <c r="D17" s="74" t="s">
        <v>542</v>
      </c>
      <c r="E17" s="75" t="s">
        <v>536</v>
      </c>
      <c r="F17" s="75" t="s">
        <v>205</v>
      </c>
      <c r="G17" s="76" t="s">
        <v>101</v>
      </c>
      <c r="H17" s="77" t="s">
        <v>519</v>
      </c>
      <c r="I17" s="77"/>
      <c r="J17" s="76" t="s">
        <v>112</v>
      </c>
      <c r="K17" s="74" t="s">
        <v>543</v>
      </c>
      <c r="L17" s="78"/>
      <c r="M17" s="79">
        <v>2.0</v>
      </c>
      <c r="N17" s="63" t="s">
        <v>544</v>
      </c>
    </row>
    <row r="18" ht="45.0" customHeight="1">
      <c r="B18" s="80" t="s">
        <v>545</v>
      </c>
      <c r="C18" s="81" t="s">
        <v>546</v>
      </c>
      <c r="D18" s="82" t="s">
        <v>547</v>
      </c>
      <c r="E18" s="83" t="s">
        <v>536</v>
      </c>
      <c r="F18" s="83" t="s">
        <v>179</v>
      </c>
      <c r="G18" s="84" t="s">
        <v>101</v>
      </c>
      <c r="H18" s="85" t="s">
        <v>548</v>
      </c>
      <c r="I18" s="85"/>
      <c r="J18" s="84" t="s">
        <v>112</v>
      </c>
      <c r="K18" s="82" t="s">
        <v>549</v>
      </c>
      <c r="L18" s="86"/>
      <c r="M18" s="87">
        <v>3.0</v>
      </c>
      <c r="N18" s="63" t="s">
        <v>550</v>
      </c>
    </row>
    <row r="19" ht="45.0" customHeight="1">
      <c r="B19" s="72" t="s">
        <v>551</v>
      </c>
      <c r="C19" s="73" t="s">
        <v>552</v>
      </c>
      <c r="D19" s="74" t="s">
        <v>553</v>
      </c>
      <c r="E19" s="75" t="s">
        <v>536</v>
      </c>
      <c r="F19" s="75" t="s">
        <v>179</v>
      </c>
      <c r="G19" s="76" t="s">
        <v>101</v>
      </c>
      <c r="H19" s="77" t="s">
        <v>58</v>
      </c>
      <c r="I19" s="77"/>
      <c r="J19" s="76" t="s">
        <v>112</v>
      </c>
      <c r="K19" s="74" t="s">
        <v>554</v>
      </c>
      <c r="L19" s="78"/>
      <c r="M19" s="79">
        <v>2.0</v>
      </c>
      <c r="N19" s="63" t="s">
        <v>555</v>
      </c>
    </row>
    <row r="20" ht="45.0" customHeight="1">
      <c r="B20" s="80" t="s">
        <v>556</v>
      </c>
      <c r="C20" s="81" t="s">
        <v>557</v>
      </c>
      <c r="D20" s="82" t="s">
        <v>558</v>
      </c>
      <c r="E20" s="83" t="s">
        <v>536</v>
      </c>
      <c r="F20" s="83" t="s">
        <v>179</v>
      </c>
      <c r="G20" s="84" t="s">
        <v>101</v>
      </c>
      <c r="H20" s="85" t="s">
        <v>559</v>
      </c>
      <c r="I20" s="85"/>
      <c r="J20" s="84" t="s">
        <v>114</v>
      </c>
      <c r="K20" s="82" t="s">
        <v>560</v>
      </c>
      <c r="L20" s="86"/>
      <c r="M20" s="87">
        <v>1.0</v>
      </c>
      <c r="N20" s="63" t="s">
        <v>561</v>
      </c>
    </row>
    <row r="21" ht="45.0" customHeight="1">
      <c r="B21" s="72" t="s">
        <v>562</v>
      </c>
      <c r="C21" s="73" t="s">
        <v>563</v>
      </c>
      <c r="D21" s="74" t="s">
        <v>564</v>
      </c>
      <c r="E21" s="75" t="s">
        <v>536</v>
      </c>
      <c r="F21" s="75" t="s">
        <v>179</v>
      </c>
      <c r="G21" s="76" t="s">
        <v>101</v>
      </c>
      <c r="H21" s="77" t="s">
        <v>530</v>
      </c>
      <c r="I21" s="77"/>
      <c r="J21" s="76" t="s">
        <v>114</v>
      </c>
      <c r="K21" s="74" t="s">
        <v>565</v>
      </c>
      <c r="L21" s="78"/>
      <c r="M21" s="79">
        <v>3.0</v>
      </c>
      <c r="N21" s="63" t="s">
        <v>566</v>
      </c>
    </row>
    <row r="22" ht="15.75" customHeight="1"/>
    <row r="23" ht="18.0" customHeight="1">
      <c r="B23" s="54" t="s">
        <v>567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3"/>
    </row>
    <row r="24" ht="45.0" customHeight="1">
      <c r="B24" s="80" t="s">
        <v>568</v>
      </c>
      <c r="C24" s="81" t="s">
        <v>569</v>
      </c>
      <c r="D24" s="82" t="s">
        <v>570</v>
      </c>
      <c r="E24" s="83" t="s">
        <v>571</v>
      </c>
      <c r="F24" s="83" t="s">
        <v>572</v>
      </c>
      <c r="G24" s="84" t="s">
        <v>101</v>
      </c>
      <c r="H24" s="85" t="s">
        <v>525</v>
      </c>
      <c r="I24" s="85"/>
      <c r="J24" s="84" t="s">
        <v>112</v>
      </c>
      <c r="K24" s="82" t="s">
        <v>573</v>
      </c>
      <c r="L24" s="86"/>
      <c r="M24" s="87">
        <v>2.0</v>
      </c>
      <c r="N24" s="63"/>
    </row>
    <row r="25" ht="45.0" customHeight="1">
      <c r="B25" s="72" t="s">
        <v>574</v>
      </c>
      <c r="C25" s="73" t="s">
        <v>575</v>
      </c>
      <c r="D25" s="74" t="s">
        <v>576</v>
      </c>
      <c r="E25" s="75" t="s">
        <v>571</v>
      </c>
      <c r="F25" s="75" t="s">
        <v>518</v>
      </c>
      <c r="G25" s="76" t="s">
        <v>101</v>
      </c>
      <c r="H25" s="77" t="s">
        <v>548</v>
      </c>
      <c r="I25" s="77"/>
      <c r="J25" s="76" t="s">
        <v>112</v>
      </c>
      <c r="K25" s="74" t="s">
        <v>577</v>
      </c>
      <c r="L25" s="78"/>
      <c r="M25" s="79">
        <v>4.0</v>
      </c>
      <c r="N25" s="63" t="s">
        <v>578</v>
      </c>
    </row>
    <row r="26" ht="45.0" customHeight="1">
      <c r="B26" s="80" t="s">
        <v>579</v>
      </c>
      <c r="C26" s="81" t="s">
        <v>580</v>
      </c>
      <c r="D26" s="82" t="s">
        <v>581</v>
      </c>
      <c r="E26" s="83" t="s">
        <v>571</v>
      </c>
      <c r="F26" s="83" t="s">
        <v>205</v>
      </c>
      <c r="G26" s="84" t="s">
        <v>101</v>
      </c>
      <c r="H26" s="85" t="s">
        <v>58</v>
      </c>
      <c r="I26" s="85"/>
      <c r="J26" s="84" t="s">
        <v>114</v>
      </c>
      <c r="K26" s="82" t="s">
        <v>582</v>
      </c>
      <c r="L26" s="86"/>
      <c r="M26" s="87">
        <v>4.0</v>
      </c>
      <c r="N26" s="63" t="s">
        <v>583</v>
      </c>
    </row>
    <row r="27" ht="45.0" customHeight="1">
      <c r="B27" s="72" t="s">
        <v>584</v>
      </c>
      <c r="C27" s="73" t="s">
        <v>585</v>
      </c>
      <c r="D27" s="74" t="s">
        <v>586</v>
      </c>
      <c r="E27" s="75" t="s">
        <v>571</v>
      </c>
      <c r="F27" s="75" t="s">
        <v>205</v>
      </c>
      <c r="G27" s="76" t="s">
        <v>101</v>
      </c>
      <c r="H27" s="77" t="s">
        <v>587</v>
      </c>
      <c r="I27" s="77"/>
      <c r="J27" s="76" t="s">
        <v>114</v>
      </c>
      <c r="K27" s="74" t="s">
        <v>588</v>
      </c>
      <c r="L27" s="78"/>
      <c r="M27" s="79">
        <v>2.0</v>
      </c>
      <c r="N27" s="63" t="s">
        <v>589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N1"/>
    <mergeCell ref="B2:N2"/>
    <mergeCell ref="B3:N3"/>
    <mergeCell ref="B6:N6"/>
    <mergeCell ref="B15:N15"/>
    <mergeCell ref="B23:N23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3.0"/>
    <col customWidth="1" min="2" max="2" width="7.0"/>
    <col customWidth="1" min="3" max="3" width="28.0"/>
    <col customWidth="1" min="4" max="4" width="55.0"/>
    <col customWidth="1" min="5" max="5" width="18.0"/>
    <col customWidth="1" min="6" max="6" width="16.0"/>
    <col customWidth="1" min="7" max="7" width="14.0"/>
    <col customWidth="1" min="8" max="9" width="12.0"/>
    <col customWidth="1" min="10" max="10" width="14.0"/>
    <col customWidth="1" min="11" max="12" width="35.0"/>
    <col customWidth="1" min="13" max="13" width="10.0"/>
    <col customWidth="1" min="14" max="14" width="35.0"/>
    <col customWidth="1" min="15" max="26" width="8.71"/>
  </cols>
  <sheetData>
    <row r="1" ht="27.75" customHeight="1">
      <c r="B1" s="19" t="s">
        <v>590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5.75" customHeight="1">
      <c r="B2" s="20" t="s">
        <v>591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34.5" customHeight="1">
      <c r="B3" s="51" t="s">
        <v>592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</row>
    <row r="4" ht="6.0" customHeight="1"/>
    <row r="5" ht="21.75" customHeight="1">
      <c r="B5" s="52" t="s">
        <v>162</v>
      </c>
      <c r="C5" s="52" t="s">
        <v>163</v>
      </c>
      <c r="D5" s="52" t="s">
        <v>164</v>
      </c>
      <c r="E5" s="52" t="s">
        <v>165</v>
      </c>
      <c r="F5" s="52" t="s">
        <v>166</v>
      </c>
      <c r="G5" s="52" t="s">
        <v>7</v>
      </c>
      <c r="H5" s="52" t="s">
        <v>167</v>
      </c>
      <c r="I5" s="52" t="s">
        <v>168</v>
      </c>
      <c r="J5" s="52" t="s">
        <v>169</v>
      </c>
      <c r="K5" s="52" t="s">
        <v>170</v>
      </c>
      <c r="L5" s="52" t="s">
        <v>171</v>
      </c>
      <c r="M5" s="52" t="s">
        <v>172</v>
      </c>
      <c r="N5" s="53" t="s">
        <v>173</v>
      </c>
    </row>
    <row r="6" ht="18.0" customHeight="1">
      <c r="B6" s="54" t="s">
        <v>593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/>
    </row>
    <row r="7" ht="45.0" customHeight="1">
      <c r="B7" s="80" t="s">
        <v>594</v>
      </c>
      <c r="C7" s="81" t="s">
        <v>595</v>
      </c>
      <c r="D7" s="82" t="s">
        <v>596</v>
      </c>
      <c r="E7" s="83" t="s">
        <v>597</v>
      </c>
      <c r="F7" s="83" t="s">
        <v>205</v>
      </c>
      <c r="G7" s="84" t="s">
        <v>101</v>
      </c>
      <c r="H7" s="85" t="s">
        <v>65</v>
      </c>
      <c r="I7" s="85"/>
      <c r="J7" s="84" t="s">
        <v>112</v>
      </c>
      <c r="K7" s="82" t="s">
        <v>598</v>
      </c>
      <c r="L7" s="86"/>
      <c r="M7" s="87">
        <v>3.0</v>
      </c>
      <c r="N7" s="63" t="s">
        <v>599</v>
      </c>
    </row>
    <row r="8" ht="45.0" customHeight="1">
      <c r="B8" s="72" t="s">
        <v>600</v>
      </c>
      <c r="C8" s="73" t="s">
        <v>601</v>
      </c>
      <c r="D8" s="74" t="s">
        <v>602</v>
      </c>
      <c r="E8" s="75" t="s">
        <v>597</v>
      </c>
      <c r="F8" s="75" t="s">
        <v>463</v>
      </c>
      <c r="G8" s="76" t="s">
        <v>101</v>
      </c>
      <c r="H8" s="77" t="s">
        <v>320</v>
      </c>
      <c r="I8" s="77"/>
      <c r="J8" s="76" t="s">
        <v>112</v>
      </c>
      <c r="K8" s="74" t="s">
        <v>603</v>
      </c>
      <c r="L8" s="78"/>
      <c r="M8" s="79">
        <v>4.0</v>
      </c>
      <c r="N8" s="63"/>
    </row>
    <row r="9" ht="45.0" customHeight="1">
      <c r="B9" s="80" t="s">
        <v>604</v>
      </c>
      <c r="C9" s="81" t="s">
        <v>605</v>
      </c>
      <c r="D9" s="82" t="s">
        <v>606</v>
      </c>
      <c r="E9" s="83" t="s">
        <v>597</v>
      </c>
      <c r="F9" s="83" t="s">
        <v>186</v>
      </c>
      <c r="G9" s="84" t="s">
        <v>101</v>
      </c>
      <c r="H9" s="85" t="s">
        <v>326</v>
      </c>
      <c r="I9" s="85"/>
      <c r="J9" s="84" t="s">
        <v>112</v>
      </c>
      <c r="K9" s="82" t="s">
        <v>607</v>
      </c>
      <c r="L9" s="86"/>
      <c r="M9" s="87">
        <v>3.0</v>
      </c>
      <c r="N9" s="63" t="s">
        <v>608</v>
      </c>
    </row>
    <row r="10" ht="45.0" customHeight="1">
      <c r="B10" s="72" t="s">
        <v>609</v>
      </c>
      <c r="C10" s="73" t="s">
        <v>610</v>
      </c>
      <c r="D10" s="74" t="s">
        <v>611</v>
      </c>
      <c r="E10" s="75" t="s">
        <v>597</v>
      </c>
      <c r="F10" s="75" t="s">
        <v>179</v>
      </c>
      <c r="G10" s="76" t="s">
        <v>101</v>
      </c>
      <c r="H10" s="77" t="s">
        <v>326</v>
      </c>
      <c r="I10" s="77"/>
      <c r="J10" s="76" t="s">
        <v>112</v>
      </c>
      <c r="K10" s="74" t="s">
        <v>612</v>
      </c>
      <c r="L10" s="78"/>
      <c r="M10" s="79">
        <v>8.0</v>
      </c>
      <c r="N10" s="63" t="s">
        <v>613</v>
      </c>
    </row>
    <row r="11" ht="45.0" customHeight="1">
      <c r="B11" s="80" t="s">
        <v>614</v>
      </c>
      <c r="C11" s="81" t="s">
        <v>615</v>
      </c>
      <c r="D11" s="82" t="s">
        <v>616</v>
      </c>
      <c r="E11" s="83" t="s">
        <v>597</v>
      </c>
      <c r="F11" s="83" t="s">
        <v>205</v>
      </c>
      <c r="G11" s="84" t="s">
        <v>101</v>
      </c>
      <c r="H11" s="85" t="s">
        <v>326</v>
      </c>
      <c r="I11" s="85"/>
      <c r="J11" s="84" t="s">
        <v>114</v>
      </c>
      <c r="K11" s="82" t="s">
        <v>617</v>
      </c>
      <c r="L11" s="86"/>
      <c r="M11" s="87">
        <v>2.0</v>
      </c>
      <c r="N11" s="63" t="s">
        <v>618</v>
      </c>
    </row>
    <row r="13" ht="18.0" customHeight="1">
      <c r="B13" s="54" t="s">
        <v>619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3"/>
    </row>
    <row r="14" ht="45.0" customHeight="1">
      <c r="B14" s="80" t="s">
        <v>620</v>
      </c>
      <c r="C14" s="81" t="s">
        <v>621</v>
      </c>
      <c r="D14" s="82" t="s">
        <v>622</v>
      </c>
      <c r="E14" s="83" t="s">
        <v>623</v>
      </c>
      <c r="F14" s="83" t="s">
        <v>186</v>
      </c>
      <c r="G14" s="84" t="s">
        <v>101</v>
      </c>
      <c r="H14" s="85" t="s">
        <v>62</v>
      </c>
      <c r="I14" s="85"/>
      <c r="J14" s="84" t="s">
        <v>112</v>
      </c>
      <c r="K14" s="82" t="s">
        <v>624</v>
      </c>
      <c r="L14" s="86"/>
      <c r="M14" s="87">
        <v>4.0</v>
      </c>
      <c r="N14" s="63" t="s">
        <v>625</v>
      </c>
    </row>
    <row r="15" ht="45.0" customHeight="1">
      <c r="B15" s="72" t="s">
        <v>626</v>
      </c>
      <c r="C15" s="73" t="s">
        <v>627</v>
      </c>
      <c r="D15" s="74" t="s">
        <v>628</v>
      </c>
      <c r="E15" s="75" t="s">
        <v>623</v>
      </c>
      <c r="F15" s="75" t="s">
        <v>205</v>
      </c>
      <c r="G15" s="76" t="s">
        <v>101</v>
      </c>
      <c r="H15" s="77" t="s">
        <v>62</v>
      </c>
      <c r="I15" s="77"/>
      <c r="J15" s="76" t="s">
        <v>112</v>
      </c>
      <c r="K15" s="74" t="s">
        <v>629</v>
      </c>
      <c r="L15" s="78"/>
      <c r="M15" s="79">
        <v>4.0</v>
      </c>
      <c r="N15" s="63" t="s">
        <v>630</v>
      </c>
    </row>
    <row r="16" ht="45.0" customHeight="1">
      <c r="B16" s="80" t="s">
        <v>631</v>
      </c>
      <c r="C16" s="81" t="s">
        <v>632</v>
      </c>
      <c r="D16" s="82" t="s">
        <v>633</v>
      </c>
      <c r="E16" s="83" t="s">
        <v>623</v>
      </c>
      <c r="F16" s="83" t="s">
        <v>179</v>
      </c>
      <c r="G16" s="84" t="s">
        <v>101</v>
      </c>
      <c r="H16" s="85" t="s">
        <v>62</v>
      </c>
      <c r="I16" s="85"/>
      <c r="J16" s="84" t="s">
        <v>114</v>
      </c>
      <c r="K16" s="82" t="s">
        <v>634</v>
      </c>
      <c r="L16" s="86"/>
      <c r="M16" s="87">
        <v>3.0</v>
      </c>
      <c r="N16" s="63" t="s">
        <v>635</v>
      </c>
    </row>
    <row r="17" ht="45.0" customHeight="1">
      <c r="B17" s="72" t="s">
        <v>636</v>
      </c>
      <c r="C17" s="73" t="s">
        <v>637</v>
      </c>
      <c r="D17" s="74" t="s">
        <v>638</v>
      </c>
      <c r="E17" s="75" t="s">
        <v>623</v>
      </c>
      <c r="F17" s="75" t="s">
        <v>639</v>
      </c>
      <c r="G17" s="76" t="s">
        <v>101</v>
      </c>
      <c r="H17" s="77" t="s">
        <v>62</v>
      </c>
      <c r="I17" s="77"/>
      <c r="J17" s="76" t="s">
        <v>112</v>
      </c>
      <c r="K17" s="74" t="s">
        <v>640</v>
      </c>
      <c r="L17" s="78"/>
      <c r="M17" s="79">
        <v>1.0</v>
      </c>
      <c r="N17" s="63"/>
    </row>
    <row r="19" ht="18.0" customHeight="1">
      <c r="B19" s="54" t="s">
        <v>641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3"/>
    </row>
    <row r="20" ht="45.0" customHeight="1">
      <c r="B20" s="80" t="s">
        <v>642</v>
      </c>
      <c r="C20" s="81" t="s">
        <v>643</v>
      </c>
      <c r="D20" s="82" t="s">
        <v>644</v>
      </c>
      <c r="E20" s="83" t="s">
        <v>645</v>
      </c>
      <c r="F20" s="83" t="s">
        <v>205</v>
      </c>
      <c r="G20" s="84" t="s">
        <v>101</v>
      </c>
      <c r="H20" s="85" t="s">
        <v>326</v>
      </c>
      <c r="I20" s="85"/>
      <c r="J20" s="84" t="s">
        <v>114</v>
      </c>
      <c r="K20" s="82" t="s">
        <v>646</v>
      </c>
      <c r="L20" s="86"/>
      <c r="M20" s="87">
        <v>4.0</v>
      </c>
      <c r="N20" s="63" t="s">
        <v>647</v>
      </c>
    </row>
    <row r="21" ht="45.0" customHeight="1">
      <c r="B21" s="72" t="s">
        <v>648</v>
      </c>
      <c r="C21" s="73" t="s">
        <v>649</v>
      </c>
      <c r="D21" s="74" t="s">
        <v>650</v>
      </c>
      <c r="E21" s="75" t="s">
        <v>651</v>
      </c>
      <c r="F21" s="75" t="s">
        <v>179</v>
      </c>
      <c r="G21" s="76" t="s">
        <v>101</v>
      </c>
      <c r="H21" s="77" t="s">
        <v>62</v>
      </c>
      <c r="I21" s="77"/>
      <c r="J21" s="76" t="s">
        <v>112</v>
      </c>
      <c r="K21" s="74" t="s">
        <v>652</v>
      </c>
      <c r="L21" s="78"/>
      <c r="M21" s="79">
        <v>6.0</v>
      </c>
      <c r="N21" s="63" t="s">
        <v>653</v>
      </c>
    </row>
    <row r="22" ht="45.0" customHeight="1">
      <c r="B22" s="80" t="s">
        <v>654</v>
      </c>
      <c r="C22" s="81" t="s">
        <v>655</v>
      </c>
      <c r="D22" s="82" t="s">
        <v>656</v>
      </c>
      <c r="E22" s="83" t="s">
        <v>657</v>
      </c>
      <c r="F22" s="83" t="s">
        <v>179</v>
      </c>
      <c r="G22" s="84" t="s">
        <v>101</v>
      </c>
      <c r="H22" s="85" t="s">
        <v>62</v>
      </c>
      <c r="I22" s="85"/>
      <c r="J22" s="84" t="s">
        <v>114</v>
      </c>
      <c r="K22" s="82" t="s">
        <v>612</v>
      </c>
      <c r="L22" s="86"/>
      <c r="M22" s="87">
        <v>4.0</v>
      </c>
      <c r="N22" s="63" t="s">
        <v>658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N1"/>
    <mergeCell ref="B2:N2"/>
    <mergeCell ref="B3:N3"/>
    <mergeCell ref="B6:N6"/>
    <mergeCell ref="B13:N13"/>
    <mergeCell ref="B19:N19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3.0"/>
    <col customWidth="1" min="2" max="2" width="7.0"/>
    <col customWidth="1" min="3" max="3" width="28.0"/>
    <col customWidth="1" min="4" max="4" width="55.0"/>
    <col customWidth="1" min="5" max="5" width="18.0"/>
    <col customWidth="1" min="6" max="6" width="16.0"/>
    <col customWidth="1" min="7" max="7" width="14.0"/>
    <col customWidth="1" min="8" max="9" width="12.0"/>
    <col customWidth="1" min="10" max="10" width="14.0"/>
    <col customWidth="1" min="11" max="12" width="35.0"/>
    <col customWidth="1" min="13" max="13" width="10.0"/>
    <col customWidth="1" min="14" max="14" width="35.0"/>
    <col customWidth="1" min="15" max="26" width="8.71"/>
  </cols>
  <sheetData>
    <row r="1" ht="27.75" customHeight="1">
      <c r="B1" s="19" t="s">
        <v>659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5.75" customHeight="1">
      <c r="B2" s="20" t="s">
        <v>660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34.5" customHeight="1">
      <c r="B3" s="51" t="s">
        <v>661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</row>
    <row r="4" ht="6.0" customHeight="1"/>
    <row r="5" ht="21.75" customHeight="1">
      <c r="B5" s="52" t="s">
        <v>162</v>
      </c>
      <c r="C5" s="52" t="s">
        <v>163</v>
      </c>
      <c r="D5" s="52" t="s">
        <v>164</v>
      </c>
      <c r="E5" s="52" t="s">
        <v>165</v>
      </c>
      <c r="F5" s="52" t="s">
        <v>166</v>
      </c>
      <c r="G5" s="52" t="s">
        <v>7</v>
      </c>
      <c r="H5" s="52" t="s">
        <v>167</v>
      </c>
      <c r="I5" s="52" t="s">
        <v>168</v>
      </c>
      <c r="J5" s="52" t="s">
        <v>169</v>
      </c>
      <c r="K5" s="52" t="s">
        <v>170</v>
      </c>
      <c r="L5" s="52" t="s">
        <v>171</v>
      </c>
      <c r="M5" s="52" t="s">
        <v>172</v>
      </c>
      <c r="N5" s="53" t="s">
        <v>173</v>
      </c>
    </row>
    <row r="6" ht="18.0" customHeight="1">
      <c r="B6" s="54" t="s">
        <v>662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/>
    </row>
    <row r="7" ht="45.0" customHeight="1">
      <c r="B7" s="80" t="s">
        <v>663</v>
      </c>
      <c r="C7" s="81" t="s">
        <v>664</v>
      </c>
      <c r="D7" s="82" t="s">
        <v>665</v>
      </c>
      <c r="E7" s="83" t="s">
        <v>666</v>
      </c>
      <c r="F7" s="83" t="s">
        <v>667</v>
      </c>
      <c r="G7" s="84" t="s">
        <v>101</v>
      </c>
      <c r="H7" s="85" t="s">
        <v>308</v>
      </c>
      <c r="I7" s="85"/>
      <c r="J7" s="84" t="s">
        <v>112</v>
      </c>
      <c r="K7" s="82" t="s">
        <v>668</v>
      </c>
      <c r="L7" s="86"/>
      <c r="M7" s="87">
        <v>8.0</v>
      </c>
      <c r="N7" s="63" t="s">
        <v>669</v>
      </c>
    </row>
    <row r="8" ht="45.0" customHeight="1">
      <c r="B8" s="72" t="s">
        <v>670</v>
      </c>
      <c r="C8" s="73" t="s">
        <v>671</v>
      </c>
      <c r="D8" s="74" t="s">
        <v>672</v>
      </c>
      <c r="E8" s="75" t="s">
        <v>666</v>
      </c>
      <c r="F8" s="75" t="s">
        <v>673</v>
      </c>
      <c r="G8" s="76" t="s">
        <v>101</v>
      </c>
      <c r="H8" s="77" t="s">
        <v>326</v>
      </c>
      <c r="I8" s="77"/>
      <c r="J8" s="76" t="s">
        <v>112</v>
      </c>
      <c r="K8" s="74" t="s">
        <v>674</v>
      </c>
      <c r="L8" s="78"/>
      <c r="M8" s="79">
        <v>16.0</v>
      </c>
      <c r="N8" s="63" t="s">
        <v>675</v>
      </c>
    </row>
    <row r="9" ht="45.0" customHeight="1">
      <c r="B9" s="80" t="s">
        <v>676</v>
      </c>
      <c r="C9" s="81" t="s">
        <v>677</v>
      </c>
      <c r="D9" s="82" t="s">
        <v>678</v>
      </c>
      <c r="E9" s="83" t="s">
        <v>666</v>
      </c>
      <c r="F9" s="83" t="s">
        <v>673</v>
      </c>
      <c r="G9" s="84" t="s">
        <v>101</v>
      </c>
      <c r="H9" s="85" t="s">
        <v>338</v>
      </c>
      <c r="I9" s="85"/>
      <c r="J9" s="84" t="s">
        <v>112</v>
      </c>
      <c r="K9" s="82" t="s">
        <v>679</v>
      </c>
      <c r="L9" s="86"/>
      <c r="M9" s="87">
        <v>20.0</v>
      </c>
      <c r="N9" s="63" t="s">
        <v>680</v>
      </c>
    </row>
    <row r="10" ht="45.0" customHeight="1">
      <c r="B10" s="72" t="s">
        <v>681</v>
      </c>
      <c r="C10" s="73" t="s">
        <v>682</v>
      </c>
      <c r="D10" s="74" t="s">
        <v>683</v>
      </c>
      <c r="E10" s="75" t="s">
        <v>666</v>
      </c>
      <c r="F10" s="75" t="s">
        <v>673</v>
      </c>
      <c r="G10" s="76" t="s">
        <v>101</v>
      </c>
      <c r="H10" s="77" t="s">
        <v>338</v>
      </c>
      <c r="I10" s="77"/>
      <c r="J10" s="76" t="s">
        <v>114</v>
      </c>
      <c r="K10" s="74" t="s">
        <v>684</v>
      </c>
      <c r="L10" s="78"/>
      <c r="M10" s="79">
        <v>8.0</v>
      </c>
      <c r="N10" s="63" t="s">
        <v>685</v>
      </c>
    </row>
    <row r="11" ht="45.0" customHeight="1">
      <c r="B11" s="80" t="s">
        <v>686</v>
      </c>
      <c r="C11" s="81" t="s">
        <v>687</v>
      </c>
      <c r="D11" s="82" t="s">
        <v>688</v>
      </c>
      <c r="E11" s="83" t="s">
        <v>666</v>
      </c>
      <c r="F11" s="83" t="s">
        <v>689</v>
      </c>
      <c r="G11" s="84" t="s">
        <v>101</v>
      </c>
      <c r="H11" s="85" t="s">
        <v>351</v>
      </c>
      <c r="I11" s="85"/>
      <c r="J11" s="84" t="s">
        <v>114</v>
      </c>
      <c r="K11" s="82" t="s">
        <v>690</v>
      </c>
      <c r="L11" s="86"/>
      <c r="M11" s="87">
        <v>12.0</v>
      </c>
      <c r="N11" s="63" t="s">
        <v>691</v>
      </c>
    </row>
    <row r="12" ht="45.0" customHeight="1">
      <c r="B12" s="72" t="s">
        <v>692</v>
      </c>
      <c r="C12" s="73" t="s">
        <v>693</v>
      </c>
      <c r="D12" s="74" t="s">
        <v>694</v>
      </c>
      <c r="E12" s="75" t="s">
        <v>666</v>
      </c>
      <c r="F12" s="75" t="s">
        <v>695</v>
      </c>
      <c r="G12" s="76" t="s">
        <v>101</v>
      </c>
      <c r="H12" s="77" t="s">
        <v>344</v>
      </c>
      <c r="I12" s="77"/>
      <c r="J12" s="76" t="s">
        <v>112</v>
      </c>
      <c r="K12" s="74" t="s">
        <v>696</v>
      </c>
      <c r="L12" s="78"/>
      <c r="M12" s="79">
        <v>4.0</v>
      </c>
      <c r="N12" s="63" t="s">
        <v>697</v>
      </c>
    </row>
    <row r="14" ht="18.0" customHeight="1">
      <c r="B14" s="54" t="s">
        <v>698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3"/>
    </row>
    <row r="15" ht="45.0" customHeight="1">
      <c r="B15" s="80" t="s">
        <v>699</v>
      </c>
      <c r="C15" s="81" t="s">
        <v>700</v>
      </c>
      <c r="D15" s="82" t="s">
        <v>701</v>
      </c>
      <c r="E15" s="83" t="s">
        <v>350</v>
      </c>
      <c r="F15" s="83" t="s">
        <v>689</v>
      </c>
      <c r="G15" s="84" t="s">
        <v>101</v>
      </c>
      <c r="H15" s="85" t="s">
        <v>326</v>
      </c>
      <c r="I15" s="85"/>
      <c r="J15" s="84" t="s">
        <v>112</v>
      </c>
      <c r="K15" s="82" t="s">
        <v>702</v>
      </c>
      <c r="L15" s="86"/>
      <c r="M15" s="87">
        <v>12.0</v>
      </c>
      <c r="N15" s="63" t="s">
        <v>703</v>
      </c>
    </row>
    <row r="16" ht="45.0" customHeight="1">
      <c r="B16" s="72" t="s">
        <v>704</v>
      </c>
      <c r="C16" s="73" t="s">
        <v>705</v>
      </c>
      <c r="D16" s="74" t="s">
        <v>706</v>
      </c>
      <c r="E16" s="75" t="s">
        <v>350</v>
      </c>
      <c r="F16" s="75" t="s">
        <v>673</v>
      </c>
      <c r="G16" s="76" t="s">
        <v>101</v>
      </c>
      <c r="H16" s="77" t="s">
        <v>338</v>
      </c>
      <c r="I16" s="77"/>
      <c r="J16" s="76" t="s">
        <v>112</v>
      </c>
      <c r="K16" s="74" t="s">
        <v>707</v>
      </c>
      <c r="L16" s="78"/>
      <c r="M16" s="79">
        <v>16.0</v>
      </c>
      <c r="N16" s="63" t="s">
        <v>708</v>
      </c>
    </row>
    <row r="17" ht="45.0" customHeight="1">
      <c r="B17" s="80" t="s">
        <v>709</v>
      </c>
      <c r="C17" s="81" t="s">
        <v>710</v>
      </c>
      <c r="D17" s="82" t="s">
        <v>711</v>
      </c>
      <c r="E17" s="83" t="s">
        <v>350</v>
      </c>
      <c r="F17" s="83" t="s">
        <v>673</v>
      </c>
      <c r="G17" s="84" t="s">
        <v>101</v>
      </c>
      <c r="H17" s="85" t="s">
        <v>351</v>
      </c>
      <c r="I17" s="85"/>
      <c r="J17" s="84" t="s">
        <v>114</v>
      </c>
      <c r="K17" s="82" t="s">
        <v>712</v>
      </c>
      <c r="L17" s="86"/>
      <c r="M17" s="87">
        <v>12.0</v>
      </c>
      <c r="N17" s="63" t="s">
        <v>713</v>
      </c>
    </row>
    <row r="18" ht="45.0" customHeight="1">
      <c r="B18" s="72" t="s">
        <v>714</v>
      </c>
      <c r="C18" s="73" t="s">
        <v>715</v>
      </c>
      <c r="D18" s="74" t="s">
        <v>716</v>
      </c>
      <c r="E18" s="75" t="s">
        <v>350</v>
      </c>
      <c r="F18" s="75" t="s">
        <v>689</v>
      </c>
      <c r="G18" s="76" t="s">
        <v>101</v>
      </c>
      <c r="H18" s="77" t="s">
        <v>344</v>
      </c>
      <c r="I18" s="77"/>
      <c r="J18" s="76" t="s">
        <v>112</v>
      </c>
      <c r="K18" s="74" t="s">
        <v>717</v>
      </c>
      <c r="L18" s="78"/>
      <c r="M18" s="79">
        <v>12.0</v>
      </c>
      <c r="N18" s="63" t="s">
        <v>718</v>
      </c>
    </row>
    <row r="20" ht="18.0" customHeight="1">
      <c r="B20" s="54" t="s">
        <v>719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3"/>
    </row>
    <row r="21" ht="45.0" customHeight="1">
      <c r="B21" s="80" t="s">
        <v>720</v>
      </c>
      <c r="C21" s="81" t="s">
        <v>721</v>
      </c>
      <c r="D21" s="82" t="s">
        <v>722</v>
      </c>
      <c r="E21" s="83" t="s">
        <v>723</v>
      </c>
      <c r="F21" s="83" t="s">
        <v>673</v>
      </c>
      <c r="G21" s="84" t="s">
        <v>101</v>
      </c>
      <c r="H21" s="85" t="s">
        <v>344</v>
      </c>
      <c r="I21" s="85"/>
      <c r="J21" s="84" t="s">
        <v>114</v>
      </c>
      <c r="K21" s="82" t="s">
        <v>724</v>
      </c>
      <c r="L21" s="86"/>
      <c r="M21" s="87">
        <v>16.0</v>
      </c>
      <c r="N21" s="63" t="s">
        <v>725</v>
      </c>
    </row>
    <row r="22" ht="45.0" customHeight="1">
      <c r="B22" s="72" t="s">
        <v>726</v>
      </c>
      <c r="C22" s="73" t="s">
        <v>727</v>
      </c>
      <c r="D22" s="74" t="s">
        <v>728</v>
      </c>
      <c r="E22" s="75" t="s">
        <v>729</v>
      </c>
      <c r="F22" s="75" t="s">
        <v>673</v>
      </c>
      <c r="G22" s="76" t="s">
        <v>101</v>
      </c>
      <c r="H22" s="77" t="s">
        <v>308</v>
      </c>
      <c r="I22" s="77"/>
      <c r="J22" s="76" t="s">
        <v>112</v>
      </c>
      <c r="K22" s="74" t="s">
        <v>730</v>
      </c>
      <c r="L22" s="78"/>
      <c r="M22" s="79">
        <v>6.0</v>
      </c>
      <c r="N22" s="63" t="s">
        <v>731</v>
      </c>
    </row>
    <row r="23" ht="45.0" customHeight="1">
      <c r="B23" s="80" t="s">
        <v>732</v>
      </c>
      <c r="C23" s="81" t="s">
        <v>733</v>
      </c>
      <c r="D23" s="82" t="s">
        <v>734</v>
      </c>
      <c r="E23" s="83" t="s">
        <v>735</v>
      </c>
      <c r="F23" s="83" t="s">
        <v>736</v>
      </c>
      <c r="G23" s="84" t="s">
        <v>101</v>
      </c>
      <c r="H23" s="85" t="s">
        <v>66</v>
      </c>
      <c r="I23" s="85"/>
      <c r="J23" s="84" t="s">
        <v>112</v>
      </c>
      <c r="K23" s="82" t="s">
        <v>737</v>
      </c>
      <c r="L23" s="86"/>
      <c r="M23" s="87">
        <v>8.0</v>
      </c>
      <c r="N23" s="63" t="s">
        <v>738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N1"/>
    <mergeCell ref="B2:N2"/>
    <mergeCell ref="B3:N3"/>
    <mergeCell ref="B6:N6"/>
    <mergeCell ref="B14:N14"/>
    <mergeCell ref="B20:N20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3.0"/>
    <col customWidth="1" min="2" max="2" width="7.0"/>
    <col customWidth="1" min="3" max="3" width="28.0"/>
    <col customWidth="1" min="4" max="4" width="55.0"/>
    <col customWidth="1" min="5" max="5" width="18.0"/>
    <col customWidth="1" min="6" max="6" width="16.0"/>
    <col customWidth="1" min="7" max="7" width="14.0"/>
    <col customWidth="1" min="8" max="9" width="12.0"/>
    <col customWidth="1" min="10" max="10" width="14.0"/>
    <col customWidth="1" min="11" max="12" width="35.0"/>
    <col customWidth="1" min="13" max="13" width="10.0"/>
    <col customWidth="1" min="14" max="14" width="35.0"/>
    <col customWidth="1" min="15" max="26" width="8.71"/>
  </cols>
  <sheetData>
    <row r="1" ht="27.75" customHeight="1">
      <c r="B1" s="19" t="s">
        <v>739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5.75" customHeight="1">
      <c r="B2" s="20" t="s">
        <v>740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34.5" customHeight="1">
      <c r="B3" s="51" t="s">
        <v>741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</row>
    <row r="4" ht="6.0" customHeight="1"/>
    <row r="5" ht="21.75" customHeight="1">
      <c r="B5" s="52" t="s">
        <v>162</v>
      </c>
      <c r="C5" s="52" t="s">
        <v>163</v>
      </c>
      <c r="D5" s="52" t="s">
        <v>164</v>
      </c>
      <c r="E5" s="52" t="s">
        <v>165</v>
      </c>
      <c r="F5" s="52" t="s">
        <v>166</v>
      </c>
      <c r="G5" s="52" t="s">
        <v>7</v>
      </c>
      <c r="H5" s="52" t="s">
        <v>167</v>
      </c>
      <c r="I5" s="52" t="s">
        <v>168</v>
      </c>
      <c r="J5" s="52" t="s">
        <v>169</v>
      </c>
      <c r="K5" s="52" t="s">
        <v>170</v>
      </c>
      <c r="L5" s="52" t="s">
        <v>171</v>
      </c>
      <c r="M5" s="52" t="s">
        <v>172</v>
      </c>
      <c r="N5" s="53" t="s">
        <v>173</v>
      </c>
    </row>
    <row r="6" ht="18.0" customHeight="1">
      <c r="B6" s="54" t="s">
        <v>742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/>
    </row>
    <row r="7" ht="45.0" customHeight="1">
      <c r="B7" s="80" t="s">
        <v>743</v>
      </c>
      <c r="C7" s="81" t="s">
        <v>744</v>
      </c>
      <c r="D7" s="82" t="s">
        <v>745</v>
      </c>
      <c r="E7" s="83" t="s">
        <v>746</v>
      </c>
      <c r="F7" s="83" t="s">
        <v>205</v>
      </c>
      <c r="G7" s="84" t="s">
        <v>101</v>
      </c>
      <c r="H7" s="85" t="s">
        <v>747</v>
      </c>
      <c r="I7" s="85"/>
      <c r="J7" s="84" t="s">
        <v>112</v>
      </c>
      <c r="K7" s="82" t="s">
        <v>748</v>
      </c>
      <c r="L7" s="86"/>
      <c r="M7" s="87">
        <v>20.0</v>
      </c>
      <c r="N7" s="63" t="s">
        <v>749</v>
      </c>
    </row>
    <row r="8" ht="45.0" customHeight="1">
      <c r="B8" s="72" t="s">
        <v>750</v>
      </c>
      <c r="C8" s="73" t="s">
        <v>751</v>
      </c>
      <c r="D8" s="74" t="s">
        <v>752</v>
      </c>
      <c r="E8" s="75" t="s">
        <v>746</v>
      </c>
      <c r="F8" s="75" t="s">
        <v>179</v>
      </c>
      <c r="G8" s="76" t="s">
        <v>101</v>
      </c>
      <c r="H8" s="77" t="s">
        <v>66</v>
      </c>
      <c r="I8" s="77"/>
      <c r="J8" s="76" t="s">
        <v>114</v>
      </c>
      <c r="K8" s="74" t="s">
        <v>753</v>
      </c>
      <c r="L8" s="78"/>
      <c r="M8" s="79">
        <v>4.0</v>
      </c>
      <c r="N8" s="63"/>
    </row>
    <row r="9" ht="45.0" customHeight="1">
      <c r="B9" s="80" t="s">
        <v>754</v>
      </c>
      <c r="C9" s="81" t="s">
        <v>755</v>
      </c>
      <c r="D9" s="82" t="s">
        <v>756</v>
      </c>
      <c r="E9" s="83" t="s">
        <v>746</v>
      </c>
      <c r="F9" s="83" t="s">
        <v>757</v>
      </c>
      <c r="G9" s="84" t="s">
        <v>101</v>
      </c>
      <c r="H9" s="85" t="s">
        <v>758</v>
      </c>
      <c r="I9" s="85"/>
      <c r="J9" s="84" t="s">
        <v>114</v>
      </c>
      <c r="K9" s="82" t="s">
        <v>759</v>
      </c>
      <c r="L9" s="86"/>
      <c r="M9" s="87">
        <v>8.0</v>
      </c>
      <c r="N9" s="63" t="s">
        <v>760</v>
      </c>
    </row>
    <row r="11" ht="18.0" customHeight="1">
      <c r="B11" s="54" t="s">
        <v>761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3"/>
    </row>
    <row r="12" ht="45.0" customHeight="1">
      <c r="B12" s="80" t="s">
        <v>762</v>
      </c>
      <c r="C12" s="81" t="s">
        <v>763</v>
      </c>
      <c r="D12" s="82" t="s">
        <v>764</v>
      </c>
      <c r="E12" s="83" t="s">
        <v>765</v>
      </c>
      <c r="F12" s="83" t="s">
        <v>179</v>
      </c>
      <c r="G12" s="84" t="s">
        <v>101</v>
      </c>
      <c r="H12" s="85" t="s">
        <v>766</v>
      </c>
      <c r="I12" s="85"/>
      <c r="J12" s="84" t="s">
        <v>112</v>
      </c>
      <c r="K12" s="82" t="s">
        <v>767</v>
      </c>
      <c r="L12" s="86"/>
      <c r="M12" s="87">
        <v>30.0</v>
      </c>
      <c r="N12" s="63" t="s">
        <v>768</v>
      </c>
    </row>
    <row r="13" ht="45.0" customHeight="1">
      <c r="B13" s="72" t="s">
        <v>769</v>
      </c>
      <c r="C13" s="73" t="s">
        <v>770</v>
      </c>
      <c r="D13" s="74" t="s">
        <v>771</v>
      </c>
      <c r="E13" s="75" t="s">
        <v>772</v>
      </c>
      <c r="F13" s="75" t="s">
        <v>205</v>
      </c>
      <c r="G13" s="76" t="s">
        <v>101</v>
      </c>
      <c r="H13" s="77" t="s">
        <v>773</v>
      </c>
      <c r="I13" s="77"/>
      <c r="J13" s="76" t="s">
        <v>114</v>
      </c>
      <c r="K13" s="74" t="s">
        <v>774</v>
      </c>
      <c r="L13" s="78"/>
      <c r="M13" s="79">
        <v>4.0</v>
      </c>
      <c r="N13" s="63" t="s">
        <v>775</v>
      </c>
    </row>
    <row r="14" ht="45.0" customHeight="1">
      <c r="B14" s="80" t="s">
        <v>776</v>
      </c>
      <c r="C14" s="81" t="s">
        <v>777</v>
      </c>
      <c r="D14" s="82" t="s">
        <v>778</v>
      </c>
      <c r="E14" s="83" t="s">
        <v>779</v>
      </c>
      <c r="F14" s="83" t="s">
        <v>695</v>
      </c>
      <c r="G14" s="84" t="s">
        <v>101</v>
      </c>
      <c r="H14" s="85" t="s">
        <v>766</v>
      </c>
      <c r="I14" s="85"/>
      <c r="J14" s="84" t="s">
        <v>114</v>
      </c>
      <c r="K14" s="82" t="s">
        <v>780</v>
      </c>
      <c r="L14" s="86"/>
      <c r="M14" s="87">
        <v>8.0</v>
      </c>
      <c r="N14" s="63" t="s">
        <v>781</v>
      </c>
    </row>
    <row r="15" ht="45.0" customHeight="1">
      <c r="B15" s="72" t="s">
        <v>782</v>
      </c>
      <c r="C15" s="73" t="s">
        <v>783</v>
      </c>
      <c r="D15" s="74" t="s">
        <v>784</v>
      </c>
      <c r="E15" s="75" t="s">
        <v>765</v>
      </c>
      <c r="F15" s="75" t="s">
        <v>205</v>
      </c>
      <c r="G15" s="76" t="s">
        <v>101</v>
      </c>
      <c r="H15" s="77" t="s">
        <v>758</v>
      </c>
      <c r="I15" s="77"/>
      <c r="J15" s="76" t="s">
        <v>116</v>
      </c>
      <c r="K15" s="74" t="s">
        <v>785</v>
      </c>
      <c r="L15" s="78"/>
      <c r="M15" s="79">
        <v>3.0</v>
      </c>
      <c r="N15" s="63" t="s">
        <v>786</v>
      </c>
    </row>
    <row r="17" ht="18.0" customHeight="1">
      <c r="B17" s="54" t="s">
        <v>787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3"/>
    </row>
    <row r="18" ht="45.0" customHeight="1">
      <c r="B18" s="80" t="s">
        <v>788</v>
      </c>
      <c r="C18" s="81" t="s">
        <v>789</v>
      </c>
      <c r="D18" s="82" t="s">
        <v>790</v>
      </c>
      <c r="E18" s="83" t="s">
        <v>791</v>
      </c>
      <c r="F18" s="83" t="s">
        <v>689</v>
      </c>
      <c r="G18" s="84" t="s">
        <v>101</v>
      </c>
      <c r="H18" s="85" t="s">
        <v>747</v>
      </c>
      <c r="I18" s="85"/>
      <c r="J18" s="84" t="s">
        <v>112</v>
      </c>
      <c r="K18" s="82" t="s">
        <v>792</v>
      </c>
      <c r="L18" s="86"/>
      <c r="M18" s="87">
        <v>4.0</v>
      </c>
      <c r="N18" s="63"/>
    </row>
    <row r="19" ht="45.0" customHeight="1">
      <c r="B19" s="72" t="s">
        <v>793</v>
      </c>
      <c r="C19" s="73" t="s">
        <v>794</v>
      </c>
      <c r="D19" s="74" t="s">
        <v>795</v>
      </c>
      <c r="E19" s="75" t="s">
        <v>791</v>
      </c>
      <c r="F19" s="75" t="s">
        <v>179</v>
      </c>
      <c r="G19" s="76" t="s">
        <v>101</v>
      </c>
      <c r="H19" s="77" t="s">
        <v>773</v>
      </c>
      <c r="I19" s="77"/>
      <c r="J19" s="76" t="s">
        <v>114</v>
      </c>
      <c r="K19" s="74" t="s">
        <v>796</v>
      </c>
      <c r="L19" s="78"/>
      <c r="M19" s="79">
        <v>2.0</v>
      </c>
      <c r="N19" s="63" t="s">
        <v>797</v>
      </c>
    </row>
    <row r="20" ht="45.0" customHeight="1">
      <c r="B20" s="80" t="s">
        <v>798</v>
      </c>
      <c r="C20" s="81" t="s">
        <v>799</v>
      </c>
      <c r="D20" s="82" t="s">
        <v>800</v>
      </c>
      <c r="E20" s="83" t="s">
        <v>801</v>
      </c>
      <c r="F20" s="83" t="s">
        <v>179</v>
      </c>
      <c r="G20" s="84" t="s">
        <v>101</v>
      </c>
      <c r="H20" s="85" t="s">
        <v>766</v>
      </c>
      <c r="I20" s="85"/>
      <c r="J20" s="84" t="s">
        <v>116</v>
      </c>
      <c r="K20" s="82" t="s">
        <v>802</v>
      </c>
      <c r="L20" s="86"/>
      <c r="M20" s="87">
        <v>4.0</v>
      </c>
      <c r="N20" s="63" t="s">
        <v>803</v>
      </c>
    </row>
    <row r="21" ht="45.0" customHeight="1">
      <c r="B21" s="72" t="s">
        <v>804</v>
      </c>
      <c r="C21" s="73" t="s">
        <v>805</v>
      </c>
      <c r="D21" s="74" t="s">
        <v>806</v>
      </c>
      <c r="E21" s="75" t="s">
        <v>807</v>
      </c>
      <c r="F21" s="75" t="s">
        <v>695</v>
      </c>
      <c r="G21" s="76" t="s">
        <v>101</v>
      </c>
      <c r="H21" s="77" t="s">
        <v>773</v>
      </c>
      <c r="I21" s="77"/>
      <c r="J21" s="76" t="s">
        <v>114</v>
      </c>
      <c r="K21" s="74" t="s">
        <v>808</v>
      </c>
      <c r="L21" s="78"/>
      <c r="M21" s="79">
        <v>12.0</v>
      </c>
      <c r="N21" s="63" t="s">
        <v>809</v>
      </c>
    </row>
    <row r="22" ht="45.0" customHeight="1">
      <c r="B22" s="80" t="s">
        <v>810</v>
      </c>
      <c r="C22" s="81" t="s">
        <v>811</v>
      </c>
      <c r="D22" s="82" t="s">
        <v>812</v>
      </c>
      <c r="E22" s="83" t="s">
        <v>807</v>
      </c>
      <c r="F22" s="83" t="s">
        <v>673</v>
      </c>
      <c r="G22" s="84" t="s">
        <v>101</v>
      </c>
      <c r="H22" s="85" t="s">
        <v>773</v>
      </c>
      <c r="I22" s="85"/>
      <c r="J22" s="84" t="s">
        <v>116</v>
      </c>
      <c r="K22" s="82" t="s">
        <v>813</v>
      </c>
      <c r="L22" s="86"/>
      <c r="M22" s="87">
        <v>20.0</v>
      </c>
      <c r="N22" s="63" t="s">
        <v>814</v>
      </c>
    </row>
    <row r="23" ht="45.0" customHeight="1">
      <c r="B23" s="72" t="s">
        <v>815</v>
      </c>
      <c r="C23" s="73" t="s">
        <v>816</v>
      </c>
      <c r="D23" s="74" t="s">
        <v>817</v>
      </c>
      <c r="E23" s="75" t="s">
        <v>818</v>
      </c>
      <c r="F23" s="75" t="s">
        <v>179</v>
      </c>
      <c r="G23" s="76" t="s">
        <v>101</v>
      </c>
      <c r="H23" s="77" t="s">
        <v>69</v>
      </c>
      <c r="I23" s="77"/>
      <c r="J23" s="76" t="s">
        <v>116</v>
      </c>
      <c r="K23" s="74" t="s">
        <v>819</v>
      </c>
      <c r="L23" s="78"/>
      <c r="M23" s="79">
        <v>6.0</v>
      </c>
      <c r="N23" s="63" t="s">
        <v>820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N1"/>
    <mergeCell ref="B2:N2"/>
    <mergeCell ref="B3:N3"/>
    <mergeCell ref="B6:N6"/>
    <mergeCell ref="B11:N11"/>
    <mergeCell ref="B17:N17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3.0"/>
    <col customWidth="1" min="2" max="2" width="7.0"/>
    <col customWidth="1" min="3" max="3" width="28.0"/>
    <col customWidth="1" min="4" max="4" width="55.0"/>
    <col customWidth="1" min="5" max="5" width="18.0"/>
    <col customWidth="1" min="6" max="6" width="16.0"/>
    <col customWidth="1" min="7" max="7" width="14.0"/>
    <col customWidth="1" min="8" max="9" width="12.0"/>
    <col customWidth="1" min="10" max="10" width="14.0"/>
    <col customWidth="1" min="11" max="12" width="35.0"/>
    <col customWidth="1" min="13" max="13" width="10.0"/>
    <col customWidth="1" min="14" max="14" width="35.0"/>
    <col customWidth="1" min="15" max="26" width="8.71"/>
  </cols>
  <sheetData>
    <row r="1" ht="27.75" customHeight="1">
      <c r="B1" s="19" t="s">
        <v>821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5.75" customHeight="1">
      <c r="B2" s="20" t="s">
        <v>822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34.5" customHeight="1">
      <c r="B3" s="51" t="s">
        <v>823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</row>
    <row r="4" ht="6.0" customHeight="1"/>
    <row r="5" ht="21.75" customHeight="1">
      <c r="B5" s="52" t="s">
        <v>162</v>
      </c>
      <c r="C5" s="52" t="s">
        <v>163</v>
      </c>
      <c r="D5" s="52" t="s">
        <v>164</v>
      </c>
      <c r="E5" s="52" t="s">
        <v>165</v>
      </c>
      <c r="F5" s="52" t="s">
        <v>166</v>
      </c>
      <c r="G5" s="52" t="s">
        <v>7</v>
      </c>
      <c r="H5" s="52" t="s">
        <v>167</v>
      </c>
      <c r="I5" s="52" t="s">
        <v>168</v>
      </c>
      <c r="J5" s="52" t="s">
        <v>169</v>
      </c>
      <c r="K5" s="52" t="s">
        <v>170</v>
      </c>
      <c r="L5" s="52" t="s">
        <v>171</v>
      </c>
      <c r="M5" s="52" t="s">
        <v>172</v>
      </c>
      <c r="N5" s="53" t="s">
        <v>173</v>
      </c>
    </row>
    <row r="6" ht="18.0" customHeight="1">
      <c r="B6" s="54" t="s">
        <v>824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/>
    </row>
    <row r="7" ht="45.0" customHeight="1">
      <c r="B7" s="80" t="s">
        <v>825</v>
      </c>
      <c r="C7" s="81" t="s">
        <v>826</v>
      </c>
      <c r="D7" s="82" t="s">
        <v>827</v>
      </c>
      <c r="E7" s="83" t="s">
        <v>828</v>
      </c>
      <c r="F7" s="83" t="s">
        <v>829</v>
      </c>
      <c r="G7" s="84" t="s">
        <v>101</v>
      </c>
      <c r="H7" s="85" t="s">
        <v>72</v>
      </c>
      <c r="I7" s="85"/>
      <c r="J7" s="84" t="s">
        <v>112</v>
      </c>
      <c r="K7" s="82" t="s">
        <v>830</v>
      </c>
      <c r="L7" s="86"/>
      <c r="M7" s="87">
        <v>30.0</v>
      </c>
      <c r="N7" s="63" t="s">
        <v>831</v>
      </c>
    </row>
    <row r="8" ht="45.0" customHeight="1">
      <c r="B8" s="72" t="s">
        <v>832</v>
      </c>
      <c r="C8" s="73" t="s">
        <v>833</v>
      </c>
      <c r="D8" s="74" t="s">
        <v>834</v>
      </c>
      <c r="E8" s="75" t="s">
        <v>835</v>
      </c>
      <c r="F8" s="75" t="s">
        <v>179</v>
      </c>
      <c r="G8" s="76" t="s">
        <v>101</v>
      </c>
      <c r="H8" s="77" t="s">
        <v>72</v>
      </c>
      <c r="I8" s="77"/>
      <c r="J8" s="76" t="s">
        <v>112</v>
      </c>
      <c r="K8" s="74" t="s">
        <v>836</v>
      </c>
      <c r="L8" s="78"/>
      <c r="M8" s="79">
        <v>30.0</v>
      </c>
      <c r="N8" s="63" t="s">
        <v>837</v>
      </c>
    </row>
    <row r="9" ht="45.0" customHeight="1">
      <c r="B9" s="80" t="s">
        <v>838</v>
      </c>
      <c r="C9" s="81" t="s">
        <v>839</v>
      </c>
      <c r="D9" s="82" t="s">
        <v>840</v>
      </c>
      <c r="E9" s="83" t="s">
        <v>841</v>
      </c>
      <c r="F9" s="83" t="s">
        <v>416</v>
      </c>
      <c r="G9" s="84" t="s">
        <v>101</v>
      </c>
      <c r="H9" s="85" t="s">
        <v>72</v>
      </c>
      <c r="I9" s="85"/>
      <c r="J9" s="84" t="s">
        <v>112</v>
      </c>
      <c r="K9" s="82" t="s">
        <v>842</v>
      </c>
      <c r="L9" s="86"/>
      <c r="M9" s="87">
        <v>4.0</v>
      </c>
      <c r="N9" s="63" t="s">
        <v>843</v>
      </c>
    </row>
    <row r="10" ht="45.0" customHeight="1">
      <c r="B10" s="72" t="s">
        <v>844</v>
      </c>
      <c r="C10" s="73" t="s">
        <v>845</v>
      </c>
      <c r="D10" s="74" t="s">
        <v>846</v>
      </c>
      <c r="E10" s="75" t="s">
        <v>847</v>
      </c>
      <c r="F10" s="75" t="s">
        <v>179</v>
      </c>
      <c r="G10" s="76" t="s">
        <v>101</v>
      </c>
      <c r="H10" s="77" t="s">
        <v>72</v>
      </c>
      <c r="I10" s="77"/>
      <c r="J10" s="76" t="s">
        <v>114</v>
      </c>
      <c r="K10" s="74" t="s">
        <v>848</v>
      </c>
      <c r="L10" s="78"/>
      <c r="M10" s="79">
        <v>20.0</v>
      </c>
      <c r="N10" s="63" t="s">
        <v>849</v>
      </c>
    </row>
    <row r="11" ht="45.0" customHeight="1">
      <c r="B11" s="80" t="s">
        <v>850</v>
      </c>
      <c r="C11" s="81" t="s">
        <v>851</v>
      </c>
      <c r="D11" s="82" t="s">
        <v>852</v>
      </c>
      <c r="E11" s="83" t="s">
        <v>853</v>
      </c>
      <c r="F11" s="83" t="s">
        <v>673</v>
      </c>
      <c r="G11" s="84" t="s">
        <v>101</v>
      </c>
      <c r="H11" s="85" t="s">
        <v>72</v>
      </c>
      <c r="I11" s="85"/>
      <c r="J11" s="84" t="s">
        <v>114</v>
      </c>
      <c r="K11" s="82" t="s">
        <v>854</v>
      </c>
      <c r="L11" s="86"/>
      <c r="M11" s="87">
        <v>40.0</v>
      </c>
      <c r="N11" s="63" t="s">
        <v>855</v>
      </c>
    </row>
    <row r="12" ht="45.0" customHeight="1">
      <c r="B12" s="72" t="s">
        <v>856</v>
      </c>
      <c r="C12" s="73" t="s">
        <v>857</v>
      </c>
      <c r="D12" s="74" t="s">
        <v>858</v>
      </c>
      <c r="E12" s="75" t="s">
        <v>859</v>
      </c>
      <c r="F12" s="75" t="s">
        <v>179</v>
      </c>
      <c r="G12" s="76" t="s">
        <v>101</v>
      </c>
      <c r="H12" s="77" t="s">
        <v>72</v>
      </c>
      <c r="I12" s="77"/>
      <c r="J12" s="76" t="s">
        <v>114</v>
      </c>
      <c r="K12" s="74" t="s">
        <v>860</v>
      </c>
      <c r="L12" s="78"/>
      <c r="M12" s="79">
        <v>10.0</v>
      </c>
      <c r="N12" s="63" t="s">
        <v>861</v>
      </c>
    </row>
    <row r="13" ht="45.0" customHeight="1">
      <c r="B13" s="80" t="s">
        <v>862</v>
      </c>
      <c r="C13" s="81" t="s">
        <v>863</v>
      </c>
      <c r="D13" s="82" t="s">
        <v>864</v>
      </c>
      <c r="E13" s="83" t="s">
        <v>865</v>
      </c>
      <c r="F13" s="83" t="s">
        <v>400</v>
      </c>
      <c r="G13" s="84" t="s">
        <v>101</v>
      </c>
      <c r="H13" s="85" t="s">
        <v>72</v>
      </c>
      <c r="I13" s="85"/>
      <c r="J13" s="84" t="s">
        <v>116</v>
      </c>
      <c r="K13" s="82" t="s">
        <v>866</v>
      </c>
      <c r="L13" s="86"/>
      <c r="M13" s="87">
        <v>4.0</v>
      </c>
      <c r="N13" s="63" t="s">
        <v>867</v>
      </c>
    </row>
    <row r="14" ht="45.0" customHeight="1">
      <c r="B14" s="72" t="s">
        <v>868</v>
      </c>
      <c r="C14" s="73" t="s">
        <v>869</v>
      </c>
      <c r="D14" s="74" t="s">
        <v>870</v>
      </c>
      <c r="E14" s="75" t="s">
        <v>871</v>
      </c>
      <c r="F14" s="75" t="s">
        <v>205</v>
      </c>
      <c r="G14" s="76" t="s">
        <v>101</v>
      </c>
      <c r="H14" s="77" t="s">
        <v>872</v>
      </c>
      <c r="I14" s="77"/>
      <c r="J14" s="76" t="s">
        <v>116</v>
      </c>
      <c r="K14" s="74" t="s">
        <v>873</v>
      </c>
      <c r="L14" s="78"/>
      <c r="M14" s="79">
        <v>4.0</v>
      </c>
      <c r="N14" s="63" t="s">
        <v>874</v>
      </c>
    </row>
    <row r="15" ht="45.0" customHeight="1">
      <c r="B15" s="80" t="s">
        <v>875</v>
      </c>
      <c r="C15" s="81" t="s">
        <v>876</v>
      </c>
      <c r="D15" s="82" t="s">
        <v>877</v>
      </c>
      <c r="E15" s="83" t="s">
        <v>878</v>
      </c>
      <c r="F15" s="83" t="s">
        <v>879</v>
      </c>
      <c r="G15" s="84" t="s">
        <v>101</v>
      </c>
      <c r="H15" s="85" t="s">
        <v>72</v>
      </c>
      <c r="I15" s="85"/>
      <c r="J15" s="84" t="s">
        <v>116</v>
      </c>
      <c r="K15" s="82" t="s">
        <v>880</v>
      </c>
      <c r="L15" s="86"/>
      <c r="M15" s="87">
        <v>6.0</v>
      </c>
      <c r="N15" s="63" t="s">
        <v>881</v>
      </c>
    </row>
    <row r="16" ht="45.0" customHeight="1">
      <c r="B16" s="72" t="s">
        <v>882</v>
      </c>
      <c r="C16" s="73" t="s">
        <v>883</v>
      </c>
      <c r="D16" s="74" t="s">
        <v>884</v>
      </c>
      <c r="E16" s="75" t="s">
        <v>885</v>
      </c>
      <c r="F16" s="75" t="s">
        <v>179</v>
      </c>
      <c r="G16" s="76" t="s">
        <v>101</v>
      </c>
      <c r="H16" s="77" t="s">
        <v>72</v>
      </c>
      <c r="I16" s="77"/>
      <c r="J16" s="76" t="s">
        <v>116</v>
      </c>
      <c r="K16" s="74" t="s">
        <v>886</v>
      </c>
      <c r="L16" s="78"/>
      <c r="M16" s="79">
        <v>4.0</v>
      </c>
      <c r="N16" s="63" t="s">
        <v>887</v>
      </c>
    </row>
    <row r="17" ht="45.0" customHeight="1">
      <c r="B17" s="80" t="s">
        <v>888</v>
      </c>
      <c r="C17" s="81" t="s">
        <v>889</v>
      </c>
      <c r="D17" s="82" t="s">
        <v>890</v>
      </c>
      <c r="E17" s="83" t="s">
        <v>891</v>
      </c>
      <c r="F17" s="83" t="s">
        <v>179</v>
      </c>
      <c r="G17" s="84" t="s">
        <v>101</v>
      </c>
      <c r="H17" s="85" t="s">
        <v>72</v>
      </c>
      <c r="I17" s="85"/>
      <c r="J17" s="84" t="s">
        <v>116</v>
      </c>
      <c r="K17" s="82" t="s">
        <v>892</v>
      </c>
      <c r="L17" s="86"/>
      <c r="M17" s="87">
        <v>6.0</v>
      </c>
      <c r="N17" s="63" t="s">
        <v>893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N1"/>
    <mergeCell ref="B2:N2"/>
    <mergeCell ref="B3:N3"/>
    <mergeCell ref="B6:N6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.0"/>
    <col customWidth="1" min="2" max="2" width="7.0"/>
    <col customWidth="1" min="3" max="3" width="32.0"/>
    <col customWidth="1" min="4" max="4" width="55.0"/>
    <col customWidth="1" min="5" max="6" width="14.0"/>
    <col customWidth="1" min="7" max="7" width="10.0"/>
    <col customWidth="1" min="8" max="26" width="8.71"/>
  </cols>
  <sheetData>
    <row r="1" ht="27.75" customHeight="1">
      <c r="B1" s="103" t="s">
        <v>894</v>
      </c>
      <c r="C1" s="2"/>
      <c r="D1" s="2"/>
      <c r="E1" s="2"/>
      <c r="F1" s="2"/>
      <c r="G1" s="3"/>
    </row>
    <row r="2" ht="15.75" customHeight="1">
      <c r="B2" s="104" t="s">
        <v>895</v>
      </c>
      <c r="C2" s="2"/>
      <c r="D2" s="2"/>
      <c r="E2" s="2"/>
      <c r="F2" s="2"/>
      <c r="G2" s="3"/>
    </row>
    <row r="4" ht="21.75" customHeight="1">
      <c r="B4" s="105" t="s">
        <v>162</v>
      </c>
      <c r="C4" s="105" t="s">
        <v>896</v>
      </c>
      <c r="D4" s="105" t="s">
        <v>897</v>
      </c>
      <c r="E4" s="105" t="s">
        <v>41</v>
      </c>
      <c r="F4" s="105" t="s">
        <v>165</v>
      </c>
      <c r="G4" s="105" t="s">
        <v>898</v>
      </c>
    </row>
    <row r="5" ht="84.75" customHeight="1">
      <c r="B5" s="106" t="s">
        <v>899</v>
      </c>
      <c r="C5" s="107" t="s">
        <v>900</v>
      </c>
      <c r="D5" s="108" t="s">
        <v>901</v>
      </c>
      <c r="E5" s="109" t="s">
        <v>48</v>
      </c>
      <c r="F5" s="109" t="s">
        <v>902</v>
      </c>
      <c r="G5" s="110">
        <v>15.0</v>
      </c>
    </row>
    <row r="6" ht="84.75" customHeight="1">
      <c r="B6" s="111" t="s">
        <v>903</v>
      </c>
      <c r="C6" s="112" t="s">
        <v>904</v>
      </c>
      <c r="D6" s="108" t="s">
        <v>905</v>
      </c>
      <c r="E6" s="77" t="s">
        <v>906</v>
      </c>
      <c r="F6" s="77" t="s">
        <v>907</v>
      </c>
      <c r="G6" s="113">
        <v>20.0</v>
      </c>
    </row>
    <row r="7" ht="84.75" customHeight="1">
      <c r="B7" s="106" t="s">
        <v>908</v>
      </c>
      <c r="C7" s="107" t="s">
        <v>909</v>
      </c>
      <c r="D7" s="108" t="s">
        <v>910</v>
      </c>
      <c r="E7" s="109" t="s">
        <v>48</v>
      </c>
      <c r="F7" s="109" t="s">
        <v>902</v>
      </c>
      <c r="G7" s="110">
        <v>10.0</v>
      </c>
    </row>
    <row r="8" ht="84.75" customHeight="1">
      <c r="B8" s="111" t="s">
        <v>911</v>
      </c>
      <c r="C8" s="112" t="s">
        <v>912</v>
      </c>
      <c r="D8" s="108" t="s">
        <v>913</v>
      </c>
      <c r="E8" s="77" t="s">
        <v>48</v>
      </c>
      <c r="F8" s="77" t="s">
        <v>230</v>
      </c>
      <c r="G8" s="113">
        <v>20.0</v>
      </c>
    </row>
    <row r="9" ht="84.75" customHeight="1">
      <c r="B9" s="106" t="s">
        <v>914</v>
      </c>
      <c r="C9" s="107" t="s">
        <v>915</v>
      </c>
      <c r="D9" s="108" t="s">
        <v>916</v>
      </c>
      <c r="E9" s="109" t="s">
        <v>917</v>
      </c>
      <c r="F9" s="109" t="s">
        <v>918</v>
      </c>
      <c r="G9" s="110">
        <v>15.0</v>
      </c>
    </row>
    <row r="10" ht="84.75" customHeight="1">
      <c r="B10" s="111" t="s">
        <v>919</v>
      </c>
      <c r="C10" s="112" t="s">
        <v>920</v>
      </c>
      <c r="D10" s="108" t="s">
        <v>921</v>
      </c>
      <c r="E10" s="77" t="s">
        <v>922</v>
      </c>
      <c r="F10" s="77" t="s">
        <v>923</v>
      </c>
      <c r="G10" s="113">
        <v>20.0</v>
      </c>
    </row>
    <row r="11" ht="84.75" customHeight="1">
      <c r="B11" s="106" t="s">
        <v>924</v>
      </c>
      <c r="C11" s="107" t="s">
        <v>925</v>
      </c>
      <c r="D11" s="108" t="s">
        <v>926</v>
      </c>
      <c r="E11" s="109" t="s">
        <v>927</v>
      </c>
      <c r="F11" s="109" t="s">
        <v>928</v>
      </c>
      <c r="G11" s="110">
        <v>15.0</v>
      </c>
    </row>
    <row r="12" ht="84.75" customHeight="1">
      <c r="B12" s="111" t="s">
        <v>929</v>
      </c>
      <c r="C12" s="112" t="s">
        <v>930</v>
      </c>
      <c r="D12" s="108" t="s">
        <v>931</v>
      </c>
      <c r="E12" s="77" t="s">
        <v>927</v>
      </c>
      <c r="F12" s="77" t="s">
        <v>932</v>
      </c>
      <c r="G12" s="113">
        <v>10.0</v>
      </c>
    </row>
    <row r="13" ht="84.75" customHeight="1">
      <c r="B13" s="106" t="s">
        <v>933</v>
      </c>
      <c r="C13" s="107" t="s">
        <v>934</v>
      </c>
      <c r="D13" s="108" t="s">
        <v>935</v>
      </c>
      <c r="E13" s="109" t="s">
        <v>936</v>
      </c>
      <c r="F13" s="109" t="s">
        <v>937</v>
      </c>
      <c r="G13" s="110">
        <v>20.0</v>
      </c>
    </row>
    <row r="14" ht="84.75" customHeight="1">
      <c r="B14" s="111" t="s">
        <v>938</v>
      </c>
      <c r="C14" s="112" t="s">
        <v>939</v>
      </c>
      <c r="D14" s="108" t="s">
        <v>940</v>
      </c>
      <c r="E14" s="77" t="s">
        <v>63</v>
      </c>
      <c r="F14" s="77" t="s">
        <v>941</v>
      </c>
      <c r="G14" s="113">
        <v>20.0</v>
      </c>
    </row>
    <row r="15" ht="84.75" customHeight="1">
      <c r="B15" s="106" t="s">
        <v>942</v>
      </c>
      <c r="C15" s="107" t="s">
        <v>943</v>
      </c>
      <c r="D15" s="108" t="s">
        <v>944</v>
      </c>
      <c r="E15" s="109" t="s">
        <v>53</v>
      </c>
      <c r="F15" s="109" t="s">
        <v>393</v>
      </c>
      <c r="G15" s="110">
        <v>15.0</v>
      </c>
    </row>
    <row r="16" ht="84.75" customHeight="1">
      <c r="B16" s="111" t="s">
        <v>945</v>
      </c>
      <c r="C16" s="112" t="s">
        <v>946</v>
      </c>
      <c r="D16" s="108" t="s">
        <v>947</v>
      </c>
      <c r="E16" s="77" t="s">
        <v>63</v>
      </c>
      <c r="F16" s="77" t="s">
        <v>948</v>
      </c>
      <c r="G16" s="113">
        <v>25.0</v>
      </c>
    </row>
    <row r="17" ht="84.75" customHeight="1">
      <c r="B17" s="106" t="s">
        <v>949</v>
      </c>
      <c r="C17" s="107" t="s">
        <v>950</v>
      </c>
      <c r="D17" s="108" t="s">
        <v>951</v>
      </c>
      <c r="E17" s="109" t="s">
        <v>952</v>
      </c>
      <c r="F17" s="109" t="s">
        <v>953</v>
      </c>
      <c r="G17" s="110">
        <v>20.0</v>
      </c>
    </row>
    <row r="18" ht="84.75" customHeight="1">
      <c r="B18" s="111" t="s">
        <v>954</v>
      </c>
      <c r="C18" s="112" t="s">
        <v>955</v>
      </c>
      <c r="D18" s="108" t="s">
        <v>956</v>
      </c>
      <c r="E18" s="77" t="s">
        <v>70</v>
      </c>
      <c r="F18" s="77" t="s">
        <v>957</v>
      </c>
      <c r="G18" s="113">
        <v>15.0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G1"/>
    <mergeCell ref="B2:G2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43.14"/>
  </cols>
  <sheetData>
    <row r="1">
      <c r="A1" s="114" t="s">
        <v>958</v>
      </c>
      <c r="B1" s="2"/>
      <c r="C1" s="2"/>
      <c r="D1" s="2"/>
      <c r="E1" s="2"/>
      <c r="F1" s="2"/>
      <c r="G1" s="3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</row>
    <row r="2">
      <c r="A2" s="116" t="s">
        <v>959</v>
      </c>
      <c r="B2" s="2"/>
      <c r="C2" s="2"/>
      <c r="D2" s="2"/>
      <c r="E2" s="2"/>
      <c r="F2" s="2"/>
      <c r="G2" s="3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</row>
    <row r="3">
      <c r="A3" s="115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</row>
    <row r="4">
      <c r="A4" s="117" t="s">
        <v>960</v>
      </c>
      <c r="B4" s="2"/>
      <c r="C4" s="2"/>
      <c r="D4" s="2"/>
      <c r="E4" s="2"/>
      <c r="F4" s="2"/>
      <c r="G4" s="3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</row>
    <row r="5">
      <c r="A5" s="118" t="s">
        <v>961</v>
      </c>
      <c r="B5" s="2"/>
      <c r="C5" s="2"/>
      <c r="D5" s="2"/>
      <c r="E5" s="2"/>
      <c r="F5" s="2"/>
      <c r="G5" s="3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</row>
    <row r="6">
      <c r="A6" s="119" t="s">
        <v>962</v>
      </c>
      <c r="B6" s="2"/>
      <c r="C6" s="2"/>
      <c r="D6" s="2"/>
      <c r="E6" s="2"/>
      <c r="F6" s="2"/>
      <c r="G6" s="3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</row>
    <row r="7">
      <c r="A7" s="120" t="s">
        <v>963</v>
      </c>
      <c r="B7" s="120" t="s">
        <v>162</v>
      </c>
      <c r="C7" s="120" t="s">
        <v>964</v>
      </c>
      <c r="D7" s="120" t="s">
        <v>965</v>
      </c>
      <c r="E7" s="120" t="s">
        <v>966</v>
      </c>
      <c r="F7" s="120" t="s">
        <v>967</v>
      </c>
      <c r="G7" s="120" t="s">
        <v>968</v>
      </c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</row>
    <row r="8">
      <c r="A8" s="121">
        <v>1.0</v>
      </c>
      <c r="B8" s="122" t="s">
        <v>304</v>
      </c>
      <c r="C8" s="123" t="s">
        <v>969</v>
      </c>
      <c r="D8" s="124" t="s">
        <v>970</v>
      </c>
      <c r="E8" s="125" t="s">
        <v>971</v>
      </c>
      <c r="F8" s="126" t="s">
        <v>972</v>
      </c>
      <c r="G8" s="127" t="s">
        <v>973</v>
      </c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</row>
    <row r="9">
      <c r="A9" s="121">
        <v>2.0</v>
      </c>
      <c r="B9" s="122" t="s">
        <v>311</v>
      </c>
      <c r="C9" s="123" t="s">
        <v>974</v>
      </c>
      <c r="D9" s="124" t="s">
        <v>970</v>
      </c>
      <c r="E9" s="125" t="s">
        <v>975</v>
      </c>
      <c r="F9" s="126" t="s">
        <v>972</v>
      </c>
      <c r="G9" s="127" t="s">
        <v>101</v>
      </c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</row>
    <row r="10">
      <c r="A10" s="121">
        <v>3.0</v>
      </c>
      <c r="B10" s="122" t="s">
        <v>317</v>
      </c>
      <c r="C10" s="123" t="s">
        <v>976</v>
      </c>
      <c r="D10" s="128" t="s">
        <v>977</v>
      </c>
      <c r="E10" s="125" t="s">
        <v>978</v>
      </c>
      <c r="F10" s="126" t="s">
        <v>979</v>
      </c>
      <c r="G10" s="127" t="s">
        <v>980</v>
      </c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</row>
    <row r="11">
      <c r="A11" s="121">
        <v>4.0</v>
      </c>
      <c r="B11" s="122" t="s">
        <v>323</v>
      </c>
      <c r="C11" s="123" t="s">
        <v>981</v>
      </c>
      <c r="D11" s="128" t="s">
        <v>977</v>
      </c>
      <c r="E11" s="125" t="s">
        <v>982</v>
      </c>
      <c r="F11" s="126" t="s">
        <v>983</v>
      </c>
      <c r="G11" s="127" t="s">
        <v>980</v>
      </c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</row>
    <row r="12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</row>
    <row r="13">
      <c r="A13" s="129" t="s">
        <v>984</v>
      </c>
      <c r="B13" s="2"/>
      <c r="C13" s="2"/>
      <c r="D13" s="2"/>
      <c r="E13" s="2"/>
      <c r="F13" s="2"/>
      <c r="G13" s="3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</row>
    <row r="14">
      <c r="A14" s="130" t="s">
        <v>985</v>
      </c>
      <c r="B14" s="2"/>
      <c r="C14" s="2"/>
      <c r="D14" s="2"/>
      <c r="E14" s="2"/>
      <c r="F14" s="2"/>
      <c r="G14" s="3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</row>
    <row r="15">
      <c r="A15" s="119" t="s">
        <v>986</v>
      </c>
      <c r="B15" s="2"/>
      <c r="C15" s="2"/>
      <c r="D15" s="2"/>
      <c r="E15" s="2"/>
      <c r="F15" s="2"/>
      <c r="G15" s="3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</row>
    <row r="16">
      <c r="A16" s="131" t="s">
        <v>963</v>
      </c>
      <c r="B16" s="131" t="s">
        <v>162</v>
      </c>
      <c r="C16" s="131" t="s">
        <v>964</v>
      </c>
      <c r="D16" s="131" t="s">
        <v>965</v>
      </c>
      <c r="E16" s="131" t="s">
        <v>966</v>
      </c>
      <c r="F16" s="131" t="s">
        <v>967</v>
      </c>
      <c r="G16" s="131" t="s">
        <v>968</v>
      </c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</row>
    <row r="17">
      <c r="A17" s="132">
        <v>1.0</v>
      </c>
      <c r="B17" s="122" t="s">
        <v>987</v>
      </c>
      <c r="C17" s="123" t="s">
        <v>988</v>
      </c>
      <c r="D17" s="124" t="s">
        <v>970</v>
      </c>
      <c r="E17" s="125" t="s">
        <v>989</v>
      </c>
      <c r="F17" s="126" t="s">
        <v>990</v>
      </c>
      <c r="G17" s="127" t="s">
        <v>101</v>
      </c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</row>
    <row r="18">
      <c r="A18" s="132">
        <v>2.0</v>
      </c>
      <c r="B18" s="122" t="s">
        <v>991</v>
      </c>
      <c r="C18" s="123" t="s">
        <v>992</v>
      </c>
      <c r="D18" s="124" t="s">
        <v>993</v>
      </c>
      <c r="E18" s="125" t="s">
        <v>994</v>
      </c>
      <c r="F18" s="126" t="s">
        <v>995</v>
      </c>
      <c r="G18" s="127" t="s">
        <v>996</v>
      </c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</row>
    <row r="19">
      <c r="A19" s="132">
        <v>3.0</v>
      </c>
      <c r="B19" s="122" t="s">
        <v>997</v>
      </c>
      <c r="C19" s="123" t="s">
        <v>998</v>
      </c>
      <c r="D19" s="124" t="s">
        <v>993</v>
      </c>
      <c r="E19" s="125" t="s">
        <v>999</v>
      </c>
      <c r="F19" s="126" t="s">
        <v>995</v>
      </c>
      <c r="G19" s="127" t="s">
        <v>996</v>
      </c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</row>
    <row r="20">
      <c r="A20" s="132">
        <v>4.0</v>
      </c>
      <c r="B20" s="122" t="s">
        <v>1000</v>
      </c>
      <c r="C20" s="123" t="s">
        <v>1001</v>
      </c>
      <c r="D20" s="128" t="s">
        <v>977</v>
      </c>
      <c r="E20" s="125" t="s">
        <v>1002</v>
      </c>
      <c r="F20" s="126" t="s">
        <v>1003</v>
      </c>
      <c r="G20" s="127" t="s">
        <v>101</v>
      </c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</row>
    <row r="21">
      <c r="A21" s="132">
        <v>5.0</v>
      </c>
      <c r="B21" s="122" t="s">
        <v>1004</v>
      </c>
      <c r="C21" s="123" t="s">
        <v>1005</v>
      </c>
      <c r="D21" s="128" t="s">
        <v>1006</v>
      </c>
      <c r="E21" s="125" t="s">
        <v>1007</v>
      </c>
      <c r="F21" s="126" t="s">
        <v>1008</v>
      </c>
      <c r="G21" s="127" t="s">
        <v>101</v>
      </c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</row>
    <row r="22">
      <c r="A22" s="115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</row>
    <row r="23">
      <c r="A23" s="133" t="s">
        <v>1009</v>
      </c>
      <c r="B23" s="2"/>
      <c r="C23" s="2"/>
      <c r="D23" s="2"/>
      <c r="E23" s="2"/>
      <c r="F23" s="2"/>
      <c r="G23" s="3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</row>
    <row r="24">
      <c r="A24" s="134" t="s">
        <v>1010</v>
      </c>
      <c r="B24" s="2"/>
      <c r="C24" s="2"/>
      <c r="D24" s="2"/>
      <c r="E24" s="2"/>
      <c r="F24" s="2"/>
      <c r="G24" s="3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</row>
    <row r="25">
      <c r="A25" s="119" t="s">
        <v>1011</v>
      </c>
      <c r="B25" s="2"/>
      <c r="C25" s="2"/>
      <c r="D25" s="2"/>
      <c r="E25" s="2"/>
      <c r="F25" s="2"/>
      <c r="G25" s="3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</row>
    <row r="26">
      <c r="A26" s="135" t="s">
        <v>963</v>
      </c>
      <c r="B26" s="135" t="s">
        <v>162</v>
      </c>
      <c r="C26" s="135" t="s">
        <v>964</v>
      </c>
      <c r="D26" s="135" t="s">
        <v>965</v>
      </c>
      <c r="E26" s="135" t="s">
        <v>966</v>
      </c>
      <c r="F26" s="135" t="s">
        <v>967</v>
      </c>
      <c r="G26" s="135" t="s">
        <v>968</v>
      </c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</row>
    <row r="27">
      <c r="A27" s="136">
        <v>1.0</v>
      </c>
      <c r="B27" s="122" t="s">
        <v>1012</v>
      </c>
      <c r="C27" s="123" t="s">
        <v>1013</v>
      </c>
      <c r="D27" s="124" t="s">
        <v>1014</v>
      </c>
      <c r="E27" s="125" t="s">
        <v>1015</v>
      </c>
      <c r="F27" s="126" t="s">
        <v>1016</v>
      </c>
      <c r="G27" s="127" t="s">
        <v>1017</v>
      </c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</row>
    <row r="28">
      <c r="A28" s="136">
        <v>2.0</v>
      </c>
      <c r="B28" s="122" t="s">
        <v>1018</v>
      </c>
      <c r="C28" s="123" t="s">
        <v>1019</v>
      </c>
      <c r="D28" s="128" t="s">
        <v>977</v>
      </c>
      <c r="E28" s="125" t="s">
        <v>1020</v>
      </c>
      <c r="F28" s="126" t="s">
        <v>1021</v>
      </c>
      <c r="G28" s="127" t="s">
        <v>101</v>
      </c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</row>
    <row r="29">
      <c r="A29" s="136">
        <v>3.0</v>
      </c>
      <c r="B29" s="122" t="s">
        <v>1022</v>
      </c>
      <c r="C29" s="123" t="s">
        <v>1023</v>
      </c>
      <c r="D29" s="128" t="s">
        <v>977</v>
      </c>
      <c r="E29" s="125" t="s">
        <v>1024</v>
      </c>
      <c r="F29" s="126" t="s">
        <v>1025</v>
      </c>
      <c r="G29" s="127" t="s">
        <v>101</v>
      </c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</row>
    <row r="30">
      <c r="A30" s="136">
        <v>4.0</v>
      </c>
      <c r="B30" s="122" t="s">
        <v>1026</v>
      </c>
      <c r="C30" s="123" t="s">
        <v>1027</v>
      </c>
      <c r="D30" s="128" t="s">
        <v>1006</v>
      </c>
      <c r="E30" s="125" t="s">
        <v>1028</v>
      </c>
      <c r="F30" s="126" t="s">
        <v>1029</v>
      </c>
      <c r="G30" s="127" t="s">
        <v>101</v>
      </c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</row>
    <row r="31">
      <c r="A31" s="136">
        <v>5.0</v>
      </c>
      <c r="B31" s="122" t="s">
        <v>1030</v>
      </c>
      <c r="C31" s="123" t="s">
        <v>1031</v>
      </c>
      <c r="D31" s="128" t="s">
        <v>1006</v>
      </c>
      <c r="E31" s="125" t="s">
        <v>1032</v>
      </c>
      <c r="F31" s="126" t="s">
        <v>1033</v>
      </c>
      <c r="G31" s="127" t="s">
        <v>101</v>
      </c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</row>
    <row r="32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</row>
    <row r="33">
      <c r="A33" s="137" t="s">
        <v>1034</v>
      </c>
      <c r="B33" s="2"/>
      <c r="C33" s="2"/>
      <c r="D33" s="2"/>
      <c r="E33" s="2"/>
      <c r="F33" s="2"/>
      <c r="G33" s="3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</row>
    <row r="34">
      <c r="A34" s="138" t="s">
        <v>1035</v>
      </c>
      <c r="B34" s="2"/>
      <c r="C34" s="2"/>
      <c r="D34" s="2"/>
      <c r="E34" s="2"/>
      <c r="F34" s="2"/>
      <c r="G34" s="3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</row>
    <row r="35">
      <c r="A35" s="119" t="s">
        <v>1036</v>
      </c>
      <c r="B35" s="2"/>
      <c r="C35" s="2"/>
      <c r="D35" s="2"/>
      <c r="E35" s="2"/>
      <c r="F35" s="2"/>
      <c r="G35" s="3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</row>
    <row r="36">
      <c r="A36" s="139" t="s">
        <v>963</v>
      </c>
      <c r="B36" s="139" t="s">
        <v>162</v>
      </c>
      <c r="C36" s="139" t="s">
        <v>964</v>
      </c>
      <c r="D36" s="139" t="s">
        <v>965</v>
      </c>
      <c r="E36" s="139" t="s">
        <v>966</v>
      </c>
      <c r="F36" s="139" t="s">
        <v>967</v>
      </c>
      <c r="G36" s="139" t="s">
        <v>968</v>
      </c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</row>
    <row r="37">
      <c r="A37" s="140">
        <v>1.0</v>
      </c>
      <c r="B37" s="122" t="s">
        <v>1037</v>
      </c>
      <c r="C37" s="123" t="s">
        <v>1038</v>
      </c>
      <c r="D37" s="124" t="s">
        <v>970</v>
      </c>
      <c r="E37" s="125" t="s">
        <v>1039</v>
      </c>
      <c r="F37" s="126" t="s">
        <v>1040</v>
      </c>
      <c r="G37" s="127" t="s">
        <v>1041</v>
      </c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</row>
    <row r="38">
      <c r="A38" s="140">
        <v>2.0</v>
      </c>
      <c r="B38" s="122" t="s">
        <v>1042</v>
      </c>
      <c r="C38" s="123" t="s">
        <v>1043</v>
      </c>
      <c r="D38" s="124" t="s">
        <v>970</v>
      </c>
      <c r="E38" s="125" t="s">
        <v>1044</v>
      </c>
      <c r="F38" s="126" t="s">
        <v>1045</v>
      </c>
      <c r="G38" s="127" t="s">
        <v>101</v>
      </c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</row>
    <row r="39">
      <c r="A39" s="140">
        <v>3.0</v>
      </c>
      <c r="B39" s="122" t="s">
        <v>1046</v>
      </c>
      <c r="C39" s="123" t="s">
        <v>1047</v>
      </c>
      <c r="D39" s="128" t="s">
        <v>1048</v>
      </c>
      <c r="E39" s="125" t="s">
        <v>1049</v>
      </c>
      <c r="F39" s="126" t="s">
        <v>1050</v>
      </c>
      <c r="G39" s="127" t="s">
        <v>101</v>
      </c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</row>
    <row r="40">
      <c r="A40" s="140">
        <v>4.0</v>
      </c>
      <c r="B40" s="122" t="s">
        <v>1051</v>
      </c>
      <c r="C40" s="123" t="s">
        <v>1052</v>
      </c>
      <c r="D40" s="128" t="s">
        <v>977</v>
      </c>
      <c r="E40" s="125" t="s">
        <v>1053</v>
      </c>
      <c r="F40" s="126" t="s">
        <v>1054</v>
      </c>
      <c r="G40" s="127" t="s">
        <v>101</v>
      </c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</row>
    <row r="41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</row>
    <row r="42">
      <c r="A42" s="141" t="s">
        <v>1055</v>
      </c>
      <c r="B42" s="2"/>
      <c r="C42" s="2"/>
      <c r="D42" s="2"/>
      <c r="E42" s="2"/>
      <c r="F42" s="2"/>
      <c r="G42" s="3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</row>
    <row r="43">
      <c r="A43" s="142" t="s">
        <v>1056</v>
      </c>
      <c r="B43" s="2"/>
      <c r="C43" s="2"/>
      <c r="D43" s="2"/>
      <c r="E43" s="2"/>
      <c r="F43" s="2"/>
      <c r="G43" s="3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</row>
    <row r="44">
      <c r="A44" s="119" t="s">
        <v>1057</v>
      </c>
      <c r="B44" s="2"/>
      <c r="C44" s="2"/>
      <c r="D44" s="2"/>
      <c r="E44" s="2"/>
      <c r="F44" s="2"/>
      <c r="G44" s="3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</row>
    <row r="45">
      <c r="A45" s="143" t="s">
        <v>963</v>
      </c>
      <c r="B45" s="143" t="s">
        <v>162</v>
      </c>
      <c r="C45" s="143" t="s">
        <v>964</v>
      </c>
      <c r="D45" s="143" t="s">
        <v>965</v>
      </c>
      <c r="E45" s="143" t="s">
        <v>966</v>
      </c>
      <c r="F45" s="143" t="s">
        <v>967</v>
      </c>
      <c r="G45" s="143" t="s">
        <v>968</v>
      </c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</row>
    <row r="46">
      <c r="A46" s="144">
        <v>1.0</v>
      </c>
      <c r="B46" s="122" t="s">
        <v>1058</v>
      </c>
      <c r="C46" s="123" t="s">
        <v>1059</v>
      </c>
      <c r="D46" s="128" t="s">
        <v>1060</v>
      </c>
      <c r="E46" s="125" t="s">
        <v>1061</v>
      </c>
      <c r="F46" s="126" t="s">
        <v>1062</v>
      </c>
      <c r="G46" s="127" t="s">
        <v>101</v>
      </c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</row>
    <row r="47">
      <c r="A47" s="144">
        <v>2.0</v>
      </c>
      <c r="B47" s="122" t="s">
        <v>1063</v>
      </c>
      <c r="C47" s="123" t="s">
        <v>1064</v>
      </c>
      <c r="D47" s="128" t="s">
        <v>977</v>
      </c>
      <c r="E47" s="125" t="s">
        <v>1065</v>
      </c>
      <c r="F47" s="126" t="s">
        <v>1066</v>
      </c>
      <c r="G47" s="127" t="s">
        <v>101</v>
      </c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</row>
    <row r="48">
      <c r="A48" s="144">
        <v>3.0</v>
      </c>
      <c r="B48" s="122" t="s">
        <v>1067</v>
      </c>
      <c r="C48" s="123" t="s">
        <v>1068</v>
      </c>
      <c r="D48" s="128" t="s">
        <v>1048</v>
      </c>
      <c r="E48" s="125" t="s">
        <v>1069</v>
      </c>
      <c r="F48" s="126" t="s">
        <v>1070</v>
      </c>
      <c r="G48" s="127" t="s">
        <v>101</v>
      </c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</row>
    <row r="49">
      <c r="A49" s="144">
        <v>4.0</v>
      </c>
      <c r="B49" s="122" t="s">
        <v>1071</v>
      </c>
      <c r="C49" s="123" t="s">
        <v>1072</v>
      </c>
      <c r="D49" s="128" t="s">
        <v>977</v>
      </c>
      <c r="E49" s="125" t="s">
        <v>1073</v>
      </c>
      <c r="F49" s="126" t="s">
        <v>1074</v>
      </c>
      <c r="G49" s="127" t="s">
        <v>101</v>
      </c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</row>
    <row r="50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</row>
    <row r="51">
      <c r="A51" s="145" t="s">
        <v>1075</v>
      </c>
      <c r="B51" s="2"/>
      <c r="C51" s="2"/>
      <c r="D51" s="2"/>
      <c r="E51" s="2"/>
      <c r="F51" s="2"/>
      <c r="G51" s="3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</row>
    <row r="52">
      <c r="A52" s="146" t="s">
        <v>1076</v>
      </c>
      <c r="B52" s="2"/>
      <c r="C52" s="2"/>
      <c r="D52" s="2"/>
      <c r="E52" s="2"/>
      <c r="F52" s="2"/>
      <c r="G52" s="3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</row>
    <row r="53">
      <c r="A53" s="119" t="s">
        <v>1077</v>
      </c>
      <c r="B53" s="2"/>
      <c r="C53" s="2"/>
      <c r="D53" s="2"/>
      <c r="E53" s="2"/>
      <c r="F53" s="2"/>
      <c r="G53" s="3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</row>
    <row r="54">
      <c r="A54" s="147" t="s">
        <v>963</v>
      </c>
      <c r="B54" s="147" t="s">
        <v>162</v>
      </c>
      <c r="C54" s="147" t="s">
        <v>964</v>
      </c>
      <c r="D54" s="147" t="s">
        <v>965</v>
      </c>
      <c r="E54" s="147" t="s">
        <v>966</v>
      </c>
      <c r="F54" s="147" t="s">
        <v>967</v>
      </c>
      <c r="G54" s="147" t="s">
        <v>968</v>
      </c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</row>
    <row r="55">
      <c r="A55" s="148">
        <v>1.0</v>
      </c>
      <c r="B55" s="122" t="s">
        <v>1078</v>
      </c>
      <c r="C55" s="123" t="s">
        <v>1079</v>
      </c>
      <c r="D55" s="128" t="s">
        <v>1060</v>
      </c>
      <c r="E55" s="125" t="s">
        <v>1080</v>
      </c>
      <c r="F55" s="126" t="s">
        <v>1081</v>
      </c>
      <c r="G55" s="127" t="s">
        <v>101</v>
      </c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</row>
    <row r="56">
      <c r="A56" s="148">
        <v>2.0</v>
      </c>
      <c r="B56" s="122" t="s">
        <v>1082</v>
      </c>
      <c r="C56" s="123" t="s">
        <v>1083</v>
      </c>
      <c r="D56" s="128" t="s">
        <v>1060</v>
      </c>
      <c r="E56" s="125" t="s">
        <v>1084</v>
      </c>
      <c r="F56" s="126" t="s">
        <v>1085</v>
      </c>
      <c r="G56" s="127" t="s">
        <v>101</v>
      </c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</row>
    <row r="57">
      <c r="A57" s="148">
        <v>3.0</v>
      </c>
      <c r="B57" s="122" t="s">
        <v>1086</v>
      </c>
      <c r="C57" s="123" t="s">
        <v>1087</v>
      </c>
      <c r="D57" s="128" t="s">
        <v>977</v>
      </c>
      <c r="E57" s="125" t="s">
        <v>1088</v>
      </c>
      <c r="F57" s="126" t="s">
        <v>1089</v>
      </c>
      <c r="G57" s="127" t="s">
        <v>101</v>
      </c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</row>
    <row r="58">
      <c r="A58" s="148">
        <v>4.0</v>
      </c>
      <c r="B58" s="122" t="s">
        <v>1090</v>
      </c>
      <c r="C58" s="123" t="s">
        <v>1091</v>
      </c>
      <c r="D58" s="128" t="s">
        <v>1006</v>
      </c>
      <c r="E58" s="125" t="s">
        <v>1092</v>
      </c>
      <c r="F58" s="126" t="s">
        <v>1093</v>
      </c>
      <c r="G58" s="127" t="s">
        <v>101</v>
      </c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</row>
    <row r="59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</row>
    <row r="60">
      <c r="A60" s="149" t="s">
        <v>1094</v>
      </c>
      <c r="B60" s="2"/>
      <c r="C60" s="2"/>
      <c r="D60" s="2"/>
      <c r="E60" s="2"/>
      <c r="F60" s="2"/>
      <c r="G60" s="3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</row>
    <row r="61">
      <c r="A61" s="150" t="s">
        <v>1095</v>
      </c>
      <c r="B61" s="2"/>
      <c r="C61" s="2"/>
      <c r="D61" s="2"/>
      <c r="E61" s="2"/>
      <c r="F61" s="2"/>
      <c r="G61" s="3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</row>
    <row r="62">
      <c r="A62" s="119" t="s">
        <v>1096</v>
      </c>
      <c r="B62" s="2"/>
      <c r="C62" s="2"/>
      <c r="D62" s="2"/>
      <c r="E62" s="2"/>
      <c r="F62" s="2"/>
      <c r="G62" s="3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</row>
    <row r="63">
      <c r="A63" s="151" t="s">
        <v>963</v>
      </c>
      <c r="B63" s="151" t="s">
        <v>162</v>
      </c>
      <c r="C63" s="151" t="s">
        <v>964</v>
      </c>
      <c r="D63" s="151" t="s">
        <v>965</v>
      </c>
      <c r="E63" s="151" t="s">
        <v>966</v>
      </c>
      <c r="F63" s="151" t="s">
        <v>967</v>
      </c>
      <c r="G63" s="151" t="s">
        <v>968</v>
      </c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</row>
    <row r="64">
      <c r="A64" s="152">
        <v>1.0</v>
      </c>
      <c r="B64" s="122" t="s">
        <v>1097</v>
      </c>
      <c r="C64" s="123" t="s">
        <v>1098</v>
      </c>
      <c r="D64" s="128" t="s">
        <v>1048</v>
      </c>
      <c r="E64" s="125" t="s">
        <v>1099</v>
      </c>
      <c r="F64" s="126" t="s">
        <v>1100</v>
      </c>
      <c r="G64" s="127" t="s">
        <v>101</v>
      </c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</row>
    <row r="65">
      <c r="A65" s="152">
        <v>2.0</v>
      </c>
      <c r="B65" s="122" t="s">
        <v>1101</v>
      </c>
      <c r="C65" s="123" t="s">
        <v>1102</v>
      </c>
      <c r="D65" s="128" t="s">
        <v>1103</v>
      </c>
      <c r="E65" s="125" t="s">
        <v>1104</v>
      </c>
      <c r="F65" s="126" t="s">
        <v>1105</v>
      </c>
      <c r="G65" s="127" t="s">
        <v>101</v>
      </c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</row>
    <row r="66">
      <c r="A66" s="152">
        <v>3.0</v>
      </c>
      <c r="B66" s="122" t="s">
        <v>1106</v>
      </c>
      <c r="C66" s="123" t="s">
        <v>1107</v>
      </c>
      <c r="D66" s="128" t="s">
        <v>1108</v>
      </c>
      <c r="E66" s="125" t="s">
        <v>1109</v>
      </c>
      <c r="F66" s="126" t="s">
        <v>1110</v>
      </c>
      <c r="G66" s="127" t="s">
        <v>101</v>
      </c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</row>
    <row r="67">
      <c r="A67" s="152">
        <v>4.0</v>
      </c>
      <c r="B67" s="122" t="s">
        <v>1111</v>
      </c>
      <c r="C67" s="123" t="s">
        <v>1112</v>
      </c>
      <c r="D67" s="128" t="s">
        <v>1113</v>
      </c>
      <c r="E67" s="125" t="s">
        <v>1114</v>
      </c>
      <c r="F67" s="126" t="s">
        <v>1115</v>
      </c>
      <c r="G67" s="127" t="s">
        <v>101</v>
      </c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</row>
    <row r="68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</row>
    <row r="69">
      <c r="A69" s="133" t="s">
        <v>1116</v>
      </c>
      <c r="B69" s="2"/>
      <c r="C69" s="2"/>
      <c r="D69" s="2"/>
      <c r="E69" s="2"/>
      <c r="F69" s="2"/>
      <c r="G69" s="3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</row>
    <row r="70">
      <c r="A70" s="134" t="s">
        <v>1117</v>
      </c>
      <c r="B70" s="2"/>
      <c r="C70" s="2"/>
      <c r="D70" s="2"/>
      <c r="E70" s="2"/>
      <c r="F70" s="2"/>
      <c r="G70" s="3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</row>
    <row r="71">
      <c r="A71" s="119" t="s">
        <v>1118</v>
      </c>
      <c r="B71" s="2"/>
      <c r="C71" s="2"/>
      <c r="D71" s="2"/>
      <c r="E71" s="2"/>
      <c r="F71" s="2"/>
      <c r="G71" s="3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</row>
    <row r="72">
      <c r="A72" s="135" t="s">
        <v>963</v>
      </c>
      <c r="B72" s="135" t="s">
        <v>162</v>
      </c>
      <c r="C72" s="135" t="s">
        <v>964</v>
      </c>
      <c r="D72" s="135" t="s">
        <v>965</v>
      </c>
      <c r="E72" s="135" t="s">
        <v>966</v>
      </c>
      <c r="F72" s="135" t="s">
        <v>967</v>
      </c>
      <c r="G72" s="135" t="s">
        <v>968</v>
      </c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</row>
    <row r="73">
      <c r="A73" s="136">
        <v>1.0</v>
      </c>
      <c r="B73" s="122" t="s">
        <v>1119</v>
      </c>
      <c r="C73" s="123" t="s">
        <v>1120</v>
      </c>
      <c r="D73" s="128" t="s">
        <v>1121</v>
      </c>
      <c r="E73" s="125" t="s">
        <v>1122</v>
      </c>
      <c r="F73" s="126" t="s">
        <v>1123</v>
      </c>
      <c r="G73" s="127" t="s">
        <v>101</v>
      </c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</row>
    <row r="74">
      <c r="A74" s="136">
        <v>2.0</v>
      </c>
      <c r="B74" s="122" t="s">
        <v>1124</v>
      </c>
      <c r="C74" s="123" t="s">
        <v>1125</v>
      </c>
      <c r="D74" s="128" t="s">
        <v>1126</v>
      </c>
      <c r="E74" s="125" t="s">
        <v>1127</v>
      </c>
      <c r="F74" s="126" t="s">
        <v>1128</v>
      </c>
      <c r="G74" s="127" t="s">
        <v>101</v>
      </c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</row>
    <row r="75">
      <c r="A75" s="136">
        <v>3.0</v>
      </c>
      <c r="B75" s="122" t="s">
        <v>1129</v>
      </c>
      <c r="C75" s="123" t="s">
        <v>1130</v>
      </c>
      <c r="D75" s="128" t="s">
        <v>1131</v>
      </c>
      <c r="E75" s="125" t="s">
        <v>1132</v>
      </c>
      <c r="F75" s="126" t="s">
        <v>1133</v>
      </c>
      <c r="G75" s="127" t="s">
        <v>101</v>
      </c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</row>
    <row r="76">
      <c r="A76" s="136">
        <v>4.0</v>
      </c>
      <c r="B76" s="122" t="s">
        <v>1134</v>
      </c>
      <c r="C76" s="123" t="s">
        <v>1135</v>
      </c>
      <c r="D76" s="128" t="s">
        <v>1136</v>
      </c>
      <c r="E76" s="125" t="s">
        <v>1137</v>
      </c>
      <c r="F76" s="126" t="s">
        <v>1138</v>
      </c>
      <c r="G76" s="127" t="s">
        <v>101</v>
      </c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</row>
    <row r="77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</row>
    <row r="78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</row>
    <row r="79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</row>
    <row r="80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</row>
    <row r="8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</row>
    <row r="82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</row>
    <row r="8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</row>
    <row r="84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</row>
    <row r="85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</row>
    <row r="86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</row>
    <row r="87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</row>
    <row r="88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</row>
    <row r="89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</row>
    <row r="90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</row>
    <row r="9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</row>
    <row r="92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</row>
    <row r="9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</row>
    <row r="94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</row>
    <row r="95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</row>
    <row r="96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</row>
    <row r="97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</row>
    <row r="98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</row>
    <row r="99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</row>
    <row r="100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</row>
    <row r="10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</row>
    <row r="102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</row>
    <row r="10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</row>
    <row r="104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</row>
    <row r="105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</row>
    <row r="106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</row>
    <row r="107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</row>
    <row r="108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</row>
    <row r="109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</row>
    <row r="110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</row>
    <row r="11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</row>
    <row r="112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</row>
    <row r="11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</row>
    <row r="114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</row>
    <row r="115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</row>
    <row r="116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</row>
    <row r="117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</row>
    <row r="118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</row>
    <row r="119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</row>
    <row r="120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</row>
    <row r="12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</row>
    <row r="122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</row>
    <row r="12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</row>
    <row r="124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</row>
    <row r="125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</row>
    <row r="126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</row>
    <row r="127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</row>
    <row r="128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</row>
    <row r="129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</row>
    <row r="130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</row>
    <row r="13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</row>
    <row r="132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</row>
    <row r="13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</row>
    <row r="134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</row>
    <row r="135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</row>
    <row r="136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</row>
    <row r="137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</row>
    <row r="138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</row>
    <row r="139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</row>
    <row r="140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</row>
    <row r="14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</row>
    <row r="142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</row>
    <row r="14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</row>
    <row r="144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</row>
    <row r="145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</row>
    <row r="146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</row>
    <row r="147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</row>
    <row r="148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</row>
    <row r="149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</row>
    <row r="150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</row>
    <row r="15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</row>
    <row r="152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</row>
    <row r="153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</row>
    <row r="154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</row>
    <row r="155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</row>
    <row r="156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</row>
    <row r="157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</row>
    <row r="158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</row>
    <row r="159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</row>
    <row r="160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</row>
    <row r="16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</row>
    <row r="162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</row>
    <row r="163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</row>
    <row r="164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</row>
    <row r="165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</row>
    <row r="166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</row>
    <row r="167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</row>
    <row r="168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</row>
    <row r="169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</row>
    <row r="170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</row>
    <row r="17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</row>
    <row r="172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</row>
    <row r="173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</row>
    <row r="174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</row>
    <row r="175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</row>
    <row r="176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</row>
    <row r="177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</row>
    <row r="178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</row>
    <row r="179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</row>
    <row r="180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</row>
    <row r="18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</row>
    <row r="182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</row>
    <row r="183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</row>
    <row r="184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</row>
    <row r="185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</row>
    <row r="186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</row>
    <row r="187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</row>
    <row r="188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</row>
    <row r="189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</row>
    <row r="190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</row>
    <row r="19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</row>
    <row r="192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</row>
    <row r="193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</row>
    <row r="194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</row>
    <row r="19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</row>
    <row r="196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</row>
    <row r="197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</row>
    <row r="198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</row>
    <row r="199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</row>
    <row r="200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</row>
    <row r="20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</row>
    <row r="202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</row>
    <row r="203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</row>
    <row r="204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</row>
    <row r="205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</row>
    <row r="206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</row>
    <row r="207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</row>
    <row r="208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</row>
    <row r="209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</row>
    <row r="210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</row>
    <row r="21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</row>
    <row r="212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</row>
    <row r="213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</row>
    <row r="214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</row>
    <row r="215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</row>
    <row r="216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</row>
    <row r="217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</row>
    <row r="218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</row>
    <row r="219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</row>
    <row r="220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</row>
    <row r="22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</row>
    <row r="222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</row>
    <row r="223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</row>
    <row r="224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</row>
    <row r="225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</row>
    <row r="226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</row>
    <row r="227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</row>
    <row r="228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</row>
    <row r="229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</row>
    <row r="230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</row>
    <row r="23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</row>
    <row r="232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</row>
    <row r="233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</row>
    <row r="234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</row>
    <row r="235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</row>
    <row r="236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</row>
    <row r="237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</row>
    <row r="238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</row>
    <row r="239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</row>
    <row r="240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</row>
    <row r="24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</row>
    <row r="242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</row>
    <row r="243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</row>
    <row r="244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</row>
    <row r="245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</row>
    <row r="246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</row>
    <row r="247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</row>
    <row r="248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</row>
    <row r="249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</row>
    <row r="250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</row>
    <row r="25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</row>
    <row r="252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</row>
    <row r="253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</row>
    <row r="254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</row>
    <row r="255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</row>
    <row r="256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</row>
    <row r="257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</row>
    <row r="258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</row>
    <row r="259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</row>
    <row r="260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</row>
    <row r="26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</row>
    <row r="262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</row>
    <row r="263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</row>
    <row r="264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</row>
    <row r="265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</row>
    <row r="266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</row>
    <row r="267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</row>
    <row r="268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</row>
    <row r="269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</row>
    <row r="270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</row>
    <row r="27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</row>
    <row r="272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</row>
    <row r="273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</row>
    <row r="274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</row>
    <row r="275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</row>
    <row r="276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</row>
    <row r="277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</row>
    <row r="278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</row>
    <row r="279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</row>
    <row r="280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</row>
    <row r="28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</row>
    <row r="282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</row>
    <row r="283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</row>
    <row r="284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</row>
    <row r="285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</row>
    <row r="286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</row>
    <row r="287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</row>
    <row r="288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</row>
    <row r="289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</row>
    <row r="290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</row>
    <row r="29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</row>
    <row r="292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</row>
    <row r="293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</row>
    <row r="294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</row>
    <row r="295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</row>
    <row r="296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</row>
    <row r="297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</row>
    <row r="298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</row>
    <row r="299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</row>
    <row r="300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</row>
    <row r="30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</row>
    <row r="302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</row>
    <row r="303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</row>
    <row r="304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</row>
    <row r="305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</row>
    <row r="306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</row>
    <row r="307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</row>
    <row r="308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</row>
    <row r="309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</row>
    <row r="310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</row>
    <row r="31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</row>
    <row r="312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</row>
    <row r="313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</row>
    <row r="314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</row>
    <row r="315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</row>
    <row r="316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</row>
    <row r="317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</row>
    <row r="318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</row>
    <row r="319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</row>
    <row r="320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</row>
    <row r="32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</row>
    <row r="322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</row>
    <row r="323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</row>
    <row r="324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</row>
    <row r="325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</row>
    <row r="326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</row>
    <row r="327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</row>
    <row r="328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</row>
    <row r="329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</row>
    <row r="330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</row>
    <row r="33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</row>
    <row r="332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</row>
    <row r="333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</row>
    <row r="334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</row>
    <row r="335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</row>
    <row r="336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</row>
    <row r="337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</row>
    <row r="338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</row>
    <row r="339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</row>
    <row r="340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</row>
    <row r="34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</row>
    <row r="342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</row>
    <row r="343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</row>
    <row r="344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</row>
    <row r="345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</row>
    <row r="346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</row>
    <row r="347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</row>
    <row r="348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</row>
    <row r="349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</row>
    <row r="350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</row>
    <row r="35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</row>
    <row r="352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</row>
    <row r="353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</row>
    <row r="354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</row>
    <row r="355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</row>
    <row r="356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</row>
    <row r="357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</row>
    <row r="358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</row>
    <row r="359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</row>
    <row r="360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</row>
    <row r="36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</row>
    <row r="362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</row>
    <row r="363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</row>
    <row r="364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</row>
    <row r="365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</row>
    <row r="366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</row>
    <row r="367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</row>
    <row r="368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</row>
    <row r="369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</row>
    <row r="370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</row>
    <row r="37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</row>
    <row r="372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</row>
    <row r="373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</row>
    <row r="374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</row>
    <row r="375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</row>
    <row r="376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</row>
    <row r="377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</row>
    <row r="378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</row>
    <row r="379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</row>
    <row r="380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</row>
    <row r="38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</row>
    <row r="382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</row>
    <row r="383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</row>
    <row r="384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</row>
    <row r="385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</row>
    <row r="386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</row>
    <row r="387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</row>
    <row r="388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</row>
    <row r="389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</row>
    <row r="390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</row>
    <row r="39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</row>
    <row r="392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</row>
    <row r="393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</row>
    <row r="394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</row>
    <row r="395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</row>
    <row r="396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</row>
    <row r="397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</row>
    <row r="398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</row>
    <row r="399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</row>
    <row r="400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</row>
    <row r="40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</row>
    <row r="402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</row>
    <row r="403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</row>
    <row r="404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</row>
    <row r="405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</row>
    <row r="406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</row>
    <row r="407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</row>
    <row r="408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</row>
    <row r="409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</row>
    <row r="410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</row>
    <row r="41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</row>
    <row r="412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</row>
    <row r="413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</row>
    <row r="414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</row>
    <row r="415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</row>
    <row r="416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</row>
    <row r="417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</row>
    <row r="418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</row>
    <row r="419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</row>
    <row r="420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</row>
    <row r="42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</row>
    <row r="422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</row>
    <row r="423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</row>
    <row r="424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</row>
    <row r="425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</row>
    <row r="426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</row>
    <row r="427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</row>
    <row r="428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</row>
    <row r="429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</row>
    <row r="430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</row>
    <row r="43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</row>
    <row r="432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</row>
    <row r="433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</row>
    <row r="434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</row>
    <row r="435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</row>
    <row r="436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</row>
    <row r="437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</row>
    <row r="438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</row>
    <row r="439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</row>
    <row r="440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</row>
    <row r="44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</row>
    <row r="442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</row>
    <row r="443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</row>
    <row r="444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</row>
    <row r="445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</row>
    <row r="446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</row>
    <row r="447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</row>
    <row r="448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</row>
    <row r="449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</row>
    <row r="450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</row>
    <row r="45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</row>
    <row r="452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</row>
    <row r="453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</row>
    <row r="454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</row>
    <row r="455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</row>
    <row r="456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</row>
    <row r="457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</row>
    <row r="458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</row>
    <row r="459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</row>
    <row r="460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</row>
    <row r="46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</row>
    <row r="462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</row>
    <row r="463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</row>
    <row r="464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</row>
    <row r="465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</row>
    <row r="466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</row>
    <row r="467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</row>
    <row r="468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</row>
    <row r="469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</row>
    <row r="470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</row>
    <row r="47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</row>
    <row r="472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</row>
    <row r="473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</row>
    <row r="474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</row>
    <row r="475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</row>
    <row r="476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</row>
    <row r="477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</row>
    <row r="478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</row>
    <row r="479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</row>
    <row r="480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</row>
    <row r="48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</row>
    <row r="482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</row>
    <row r="483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</row>
    <row r="48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</row>
    <row r="485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</row>
    <row r="486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</row>
    <row r="487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</row>
    <row r="488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</row>
    <row r="489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</row>
    <row r="490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</row>
    <row r="49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</row>
    <row r="492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</row>
    <row r="493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</row>
    <row r="494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</row>
    <row r="495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</row>
    <row r="496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</row>
    <row r="497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</row>
    <row r="498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</row>
    <row r="499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</row>
    <row r="500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</row>
    <row r="50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</row>
    <row r="502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</row>
    <row r="503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</row>
    <row r="50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</row>
    <row r="505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</row>
    <row r="506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</row>
    <row r="507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</row>
    <row r="508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</row>
    <row r="509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</row>
    <row r="510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</row>
    <row r="51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</row>
    <row r="512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</row>
    <row r="513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</row>
    <row r="514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</row>
    <row r="515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</row>
    <row r="516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</row>
    <row r="517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</row>
    <row r="518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</row>
    <row r="519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</row>
    <row r="520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</row>
    <row r="52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</row>
    <row r="522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</row>
    <row r="523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</row>
    <row r="52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</row>
    <row r="525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</row>
    <row r="526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</row>
    <row r="527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</row>
    <row r="528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</row>
    <row r="529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</row>
    <row r="530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</row>
    <row r="53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</row>
    <row r="532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</row>
    <row r="533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</row>
    <row r="53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</row>
    <row r="535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</row>
    <row r="536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</row>
    <row r="537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</row>
    <row r="538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</row>
    <row r="539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</row>
    <row r="540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</row>
    <row r="54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</row>
    <row r="542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</row>
    <row r="543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</row>
    <row r="54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</row>
    <row r="545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</row>
    <row r="546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</row>
    <row r="547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</row>
    <row r="548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</row>
    <row r="549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</row>
    <row r="550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</row>
    <row r="55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</row>
    <row r="552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</row>
    <row r="553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</row>
    <row r="554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</row>
    <row r="555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</row>
    <row r="556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</row>
    <row r="557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</row>
    <row r="558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</row>
    <row r="559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</row>
    <row r="560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</row>
    <row r="56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</row>
    <row r="562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</row>
    <row r="563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</row>
    <row r="564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</row>
    <row r="565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</row>
    <row r="566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</row>
    <row r="567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</row>
    <row r="568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</row>
    <row r="569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</row>
    <row r="570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</row>
    <row r="57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</row>
    <row r="572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</row>
    <row r="573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</row>
    <row r="57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</row>
    <row r="575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</row>
    <row r="576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</row>
    <row r="577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</row>
    <row r="578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</row>
    <row r="579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</row>
    <row r="580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</row>
    <row r="58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</row>
    <row r="582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</row>
    <row r="583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</row>
    <row r="584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</row>
    <row r="585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</row>
    <row r="586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</row>
    <row r="587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</row>
    <row r="588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</row>
    <row r="589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</row>
    <row r="590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</row>
    <row r="59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</row>
    <row r="592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</row>
    <row r="593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</row>
    <row r="594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</row>
    <row r="595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</row>
    <row r="596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</row>
    <row r="597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</row>
    <row r="598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</row>
    <row r="599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</row>
    <row r="600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</row>
    <row r="60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</row>
    <row r="602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</row>
    <row r="603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</row>
    <row r="60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</row>
    <row r="605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</row>
    <row r="606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</row>
    <row r="607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</row>
    <row r="608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</row>
    <row r="609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</row>
    <row r="610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</row>
    <row r="61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</row>
    <row r="612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</row>
    <row r="613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</row>
    <row r="614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</row>
    <row r="615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</row>
    <row r="616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</row>
    <row r="617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</row>
    <row r="618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</row>
    <row r="619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</row>
    <row r="620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</row>
    <row r="62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</row>
    <row r="622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</row>
    <row r="623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</row>
    <row r="62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</row>
    <row r="625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</row>
    <row r="626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</row>
    <row r="627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</row>
    <row r="628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</row>
    <row r="629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</row>
    <row r="630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</row>
    <row r="63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</row>
    <row r="632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</row>
    <row r="633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</row>
    <row r="634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</row>
    <row r="635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</row>
    <row r="636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</row>
    <row r="637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</row>
    <row r="638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</row>
    <row r="639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</row>
    <row r="640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</row>
    <row r="64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</row>
    <row r="642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</row>
    <row r="643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</row>
    <row r="644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</row>
    <row r="645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</row>
    <row r="646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</row>
    <row r="647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</row>
    <row r="648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</row>
    <row r="649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</row>
    <row r="650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</row>
    <row r="65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</row>
    <row r="652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</row>
    <row r="653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</row>
    <row r="65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</row>
    <row r="65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</row>
    <row r="656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</row>
    <row r="657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</row>
    <row r="658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</row>
    <row r="659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</row>
    <row r="660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</row>
    <row r="66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</row>
    <row r="662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</row>
    <row r="663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</row>
    <row r="66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</row>
    <row r="66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</row>
    <row r="666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</row>
    <row r="667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</row>
    <row r="668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</row>
    <row r="669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</row>
    <row r="670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</row>
    <row r="67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</row>
    <row r="672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</row>
    <row r="673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</row>
    <row r="67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</row>
    <row r="67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</row>
    <row r="676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</row>
    <row r="677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</row>
    <row r="678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</row>
    <row r="679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</row>
    <row r="680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</row>
    <row r="68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</row>
    <row r="682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</row>
    <row r="683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</row>
    <row r="68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</row>
    <row r="68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</row>
    <row r="686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</row>
    <row r="687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</row>
    <row r="688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</row>
    <row r="689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</row>
    <row r="690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</row>
    <row r="69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</row>
    <row r="692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</row>
    <row r="693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</row>
    <row r="69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</row>
    <row r="69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</row>
    <row r="696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</row>
    <row r="697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</row>
    <row r="698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</row>
    <row r="699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</row>
    <row r="700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</row>
    <row r="70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</row>
    <row r="702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</row>
    <row r="703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</row>
    <row r="70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</row>
    <row r="70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</row>
    <row r="706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</row>
    <row r="707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</row>
    <row r="708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</row>
    <row r="709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</row>
    <row r="710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</row>
    <row r="71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</row>
    <row r="712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</row>
    <row r="713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</row>
    <row r="71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</row>
    <row r="71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</row>
    <row r="716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</row>
    <row r="717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</row>
    <row r="718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</row>
    <row r="719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</row>
    <row r="720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</row>
    <row r="72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</row>
    <row r="722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</row>
    <row r="723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</row>
    <row r="72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</row>
    <row r="72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</row>
    <row r="726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</row>
    <row r="727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</row>
    <row r="728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</row>
    <row r="729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</row>
    <row r="730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</row>
    <row r="73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</row>
    <row r="732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</row>
    <row r="733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</row>
    <row r="73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</row>
    <row r="73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</row>
    <row r="736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</row>
    <row r="737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</row>
    <row r="738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</row>
    <row r="739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</row>
    <row r="740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</row>
    <row r="74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</row>
    <row r="742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</row>
    <row r="743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</row>
    <row r="74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</row>
    <row r="74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</row>
    <row r="746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</row>
    <row r="747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</row>
    <row r="748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</row>
    <row r="749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</row>
    <row r="750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</row>
    <row r="75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</row>
    <row r="752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</row>
    <row r="753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</row>
    <row r="75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</row>
    <row r="75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</row>
    <row r="756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</row>
    <row r="757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</row>
    <row r="758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</row>
    <row r="759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</row>
    <row r="760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</row>
    <row r="76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</row>
    <row r="762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</row>
    <row r="763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</row>
    <row r="76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</row>
    <row r="76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</row>
    <row r="766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</row>
    <row r="767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</row>
    <row r="768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</row>
    <row r="769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</row>
    <row r="770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</row>
    <row r="77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</row>
    <row r="772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</row>
    <row r="773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</row>
    <row r="77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</row>
    <row r="77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</row>
    <row r="776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</row>
    <row r="777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</row>
    <row r="778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</row>
    <row r="779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</row>
    <row r="780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</row>
    <row r="78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</row>
    <row r="782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</row>
    <row r="783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</row>
    <row r="78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</row>
    <row r="78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</row>
    <row r="786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</row>
    <row r="787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</row>
    <row r="788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</row>
    <row r="789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</row>
    <row r="790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</row>
    <row r="79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</row>
    <row r="792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</row>
    <row r="793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</row>
    <row r="79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</row>
    <row r="79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</row>
    <row r="796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</row>
    <row r="797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</row>
    <row r="798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</row>
    <row r="799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</row>
    <row r="800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</row>
    <row r="80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</row>
    <row r="802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</row>
    <row r="803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</row>
    <row r="80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</row>
    <row r="80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</row>
    <row r="806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</row>
    <row r="807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</row>
    <row r="808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</row>
    <row r="809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</row>
    <row r="810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</row>
    <row r="81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</row>
    <row r="812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</row>
    <row r="813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</row>
    <row r="81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</row>
    <row r="81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</row>
    <row r="816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</row>
    <row r="817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</row>
    <row r="818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</row>
    <row r="819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</row>
    <row r="820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</row>
    <row r="82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</row>
    <row r="822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</row>
    <row r="823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</row>
    <row r="82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</row>
    <row r="82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</row>
    <row r="826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</row>
    <row r="827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</row>
    <row r="828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</row>
    <row r="829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</row>
    <row r="830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</row>
    <row r="83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</row>
    <row r="832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</row>
    <row r="833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</row>
    <row r="83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</row>
    <row r="83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</row>
    <row r="836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</row>
    <row r="837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</row>
    <row r="838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</row>
    <row r="839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</row>
    <row r="840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</row>
    <row r="84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</row>
    <row r="842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</row>
    <row r="843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</row>
    <row r="84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</row>
    <row r="845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</row>
    <row r="846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</row>
    <row r="847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</row>
    <row r="848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</row>
    <row r="849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</row>
    <row r="850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</row>
    <row r="85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</row>
    <row r="852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</row>
    <row r="853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</row>
    <row r="85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</row>
    <row r="855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</row>
    <row r="856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</row>
    <row r="857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</row>
    <row r="858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</row>
    <row r="859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</row>
    <row r="860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</row>
    <row r="86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</row>
    <row r="862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</row>
    <row r="863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</row>
    <row r="86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</row>
    <row r="865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</row>
    <row r="866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</row>
    <row r="867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</row>
    <row r="868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</row>
    <row r="869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</row>
    <row r="870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</row>
    <row r="87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</row>
    <row r="872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</row>
    <row r="873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</row>
    <row r="87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</row>
    <row r="875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</row>
    <row r="876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</row>
    <row r="877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</row>
    <row r="878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</row>
    <row r="879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</row>
    <row r="880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</row>
    <row r="88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</row>
    <row r="882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</row>
    <row r="883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</row>
    <row r="88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</row>
    <row r="885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</row>
    <row r="886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</row>
    <row r="887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</row>
    <row r="888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</row>
    <row r="889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</row>
    <row r="890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</row>
    <row r="89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</row>
    <row r="892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</row>
    <row r="893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</row>
    <row r="89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</row>
    <row r="895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</row>
    <row r="896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</row>
    <row r="897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</row>
    <row r="898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</row>
    <row r="899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</row>
    <row r="900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</row>
    <row r="90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</row>
    <row r="902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</row>
    <row r="903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</row>
    <row r="90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</row>
    <row r="905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</row>
    <row r="906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</row>
    <row r="907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</row>
    <row r="908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</row>
    <row r="909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</row>
    <row r="910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</row>
    <row r="91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</row>
    <row r="912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</row>
    <row r="913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</row>
    <row r="91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</row>
    <row r="915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</row>
    <row r="916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</row>
    <row r="917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</row>
    <row r="918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</row>
    <row r="919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</row>
    <row r="920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</row>
    <row r="92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</row>
    <row r="922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</row>
    <row r="923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</row>
    <row r="92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</row>
    <row r="925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</row>
    <row r="926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</row>
    <row r="927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</row>
    <row r="928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</row>
    <row r="929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</row>
    <row r="930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</row>
    <row r="93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</row>
    <row r="932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</row>
    <row r="933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</row>
    <row r="93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</row>
    <row r="935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</row>
    <row r="936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</row>
    <row r="937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</row>
    <row r="938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</row>
    <row r="939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</row>
    <row r="940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</row>
    <row r="94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</row>
    <row r="942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</row>
    <row r="943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</row>
    <row r="94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</row>
    <row r="945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</row>
    <row r="946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</row>
    <row r="947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</row>
    <row r="948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</row>
    <row r="949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</row>
    <row r="950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</row>
    <row r="95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</row>
    <row r="952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</row>
    <row r="953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</row>
    <row r="95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</row>
    <row r="955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</row>
    <row r="956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</row>
    <row r="957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</row>
    <row r="958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</row>
    <row r="959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</row>
    <row r="960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</row>
    <row r="96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</row>
    <row r="962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</row>
    <row r="963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</row>
    <row r="96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</row>
    <row r="965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</row>
    <row r="966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</row>
    <row r="967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</row>
    <row r="968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</row>
    <row r="969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</row>
    <row r="970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</row>
    <row r="97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</row>
    <row r="972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</row>
    <row r="973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</row>
    <row r="974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</row>
    <row r="975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</row>
    <row r="976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</row>
    <row r="977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</row>
    <row r="978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</row>
    <row r="979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</row>
    <row r="980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</row>
    <row r="98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</row>
    <row r="982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</row>
    <row r="983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</row>
    <row r="98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</row>
    <row r="985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</row>
    <row r="986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</row>
    <row r="987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</row>
    <row r="988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</row>
    <row r="989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</row>
    <row r="990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</row>
    <row r="99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</row>
    <row r="992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</row>
    <row r="993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</row>
    <row r="994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</row>
    <row r="995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</row>
    <row r="996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</row>
    <row r="997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</row>
    <row r="998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</row>
    <row r="999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</row>
    <row r="1000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</row>
  </sheetData>
  <mergeCells count="26">
    <mergeCell ref="A1:G1"/>
    <mergeCell ref="A2:G2"/>
    <mergeCell ref="A4:G4"/>
    <mergeCell ref="A5:G5"/>
    <mergeCell ref="A6:G6"/>
    <mergeCell ref="A13:G13"/>
    <mergeCell ref="A14:G14"/>
    <mergeCell ref="A15:G15"/>
    <mergeCell ref="A23:G23"/>
    <mergeCell ref="A24:G24"/>
    <mergeCell ref="A25:G25"/>
    <mergeCell ref="A33:G33"/>
    <mergeCell ref="A34:G34"/>
    <mergeCell ref="A35:G35"/>
    <mergeCell ref="A61:G61"/>
    <mergeCell ref="A62:G62"/>
    <mergeCell ref="A69:G69"/>
    <mergeCell ref="A70:G70"/>
    <mergeCell ref="A71:G71"/>
    <mergeCell ref="A42:G42"/>
    <mergeCell ref="A43:G43"/>
    <mergeCell ref="A44:G44"/>
    <mergeCell ref="A51:G51"/>
    <mergeCell ref="A52:G52"/>
    <mergeCell ref="A53:G53"/>
    <mergeCell ref="A60:G60"/>
  </mergeCells>
  <dataValidations>
    <dataValidation type="list" allowBlank="1" sqref="G73:G77">
      <formula1>"⏳ TODO,🔄 IN PROGRESS,✅ DONE,🚫 BLOCKED"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2026-05-18T13:59:55Z</dcterms:created>
  <dc:creator>openpyxl</dc:creator>
</cp:coreProperties>
</file>