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z\Downloads\"/>
    </mc:Choice>
  </mc:AlternateContent>
  <xr:revisionPtr revIDLastSave="0" documentId="13_ncr:1_{8F201BE2-11F8-4AA7-8D24-B984984B86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📊 Unit Economics" sheetId="1" r:id="rId1"/>
    <sheet name="🧮 Kalkulator UE" sheetId="2" r:id="rId2"/>
    <sheet name="📈 Skalowanie floty" sheetId="3" r:id="rId3"/>
    <sheet name="⚖️ Status Dokumentów" sheetId="4" r:id="rId4"/>
    <sheet name="❓ Luki i Pytania" sheetId="5" r:id="rId5"/>
    <sheet name="🎯 Raport v2.0" sheetId="6" r:id="rId6"/>
    <sheet name="🚀 Quick Wins &amp; A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7" i="2"/>
  <c r="B26" i="2"/>
  <c r="B27" i="2" s="1"/>
  <c r="B22" i="2"/>
  <c r="B21" i="2"/>
  <c r="B18" i="2"/>
  <c r="B16" i="2"/>
  <c r="B20" i="2" s="1"/>
  <c r="B23" i="2" l="1"/>
  <c r="B24" i="2" s="1"/>
  <c r="B25" i="2" s="1"/>
</calcChain>
</file>

<file path=xl/sharedStrings.xml><?xml version="1.0" encoding="utf-8"?>
<sst xmlns="http://schemas.openxmlformats.org/spreadsheetml/2006/main" count="493" uniqueCount="390">
  <si>
    <t>ADRIDE.PL — UNIT ECONOMICS</t>
  </si>
  <si>
    <t>Model finansowy | Malik sp. z o.o. | v1.0 | maj 2026</t>
  </si>
  <si>
    <t xml:space="preserve">  A. STAWKI WYNAGRODZENIA KIEROWCY (źródło: Umowa z Kierowcą §5, Regulamin §6.2)</t>
  </si>
  <si>
    <t>Parametr</t>
  </si>
  <si>
    <t>Wartość</t>
  </si>
  <si>
    <t>Jednostka</t>
  </si>
  <si>
    <t>Status</t>
  </si>
  <si>
    <t>Źródło / Uwaga</t>
  </si>
  <si>
    <t>Stawka miejska (≤50 km/h, teren zabudowany)</t>
  </si>
  <si>
    <t>zł/km</t>
  </si>
  <si>
    <t>✅ USTALONE</t>
  </si>
  <si>
    <t>§5.1 Umowy z Kierowcą</t>
  </si>
  <si>
    <t>Stawka pozamiejska (&gt;50 km/h)</t>
  </si>
  <si>
    <t>Minimalny przebieg miesięczny</t>
  </si>
  <si>
    <t>km/mies.</t>
  </si>
  <si>
    <t>§4.2 Umowy z Kierowcą</t>
  </si>
  <si>
    <t>Próg wypłaty (min. saldo na koncie)</t>
  </si>
  <si>
    <t>zł</t>
  </si>
  <si>
    <t>§5.2 Umowy z Kierowcą</t>
  </si>
  <si>
    <t>Szacunkowe wynagr. wg umowy (NIE gwarantowane)</t>
  </si>
  <si>
    <t>zł/mies.</t>
  </si>
  <si>
    <t>⚠️ ORIENTACYJNE</t>
  </si>
  <si>
    <t>§5.1 — 'nie stanowi gwarancji'</t>
  </si>
  <si>
    <t>Termin wypłaty (po osiągnięciu progu 500 zł)</t>
  </si>
  <si>
    <t>Do 10. dnia mies.</t>
  </si>
  <si>
    <t>-</t>
  </si>
  <si>
    <t>§5.2 ust.3</t>
  </si>
  <si>
    <t xml:space="preserve">  B. SCENARIUSZE MIESIĘCZNEGO ZAROBKU KIEROWCY</t>
  </si>
  <si>
    <t>Scenariusz</t>
  </si>
  <si>
    <t>km miejskie (mies.)</t>
  </si>
  <si>
    <t>km pozamiejskie (mies.)</t>
  </si>
  <si>
    <t>Zarobek brutto (zł)</t>
  </si>
  <si>
    <t>Interpretacja</t>
  </si>
  <si>
    <t>🔴 MINIMUM (500 km, 70% miasto)</t>
  </si>
  <si>
    <t>Warunek min. przebiegu spełniony — ~273 zł</t>
  </si>
  <si>
    <t>🟡 REALISTYCZNY (800 km, 70% miasto)</t>
  </si>
  <si>
    <t>Typowy kierowca miejski — ~396 zł</t>
  </si>
  <si>
    <t>🟢 OPTYMALNY (1200 km, 80% miasto)</t>
  </si>
  <si>
    <t>Aktywny kierowca, dużo centrum — ~636 zł</t>
  </si>
  <si>
    <t>⭐ GÓRNY (1500 km, 75% miasto)</t>
  </si>
  <si>
    <t>Dostawca / kurier — ~769 zł</t>
  </si>
  <si>
    <t xml:space="preserve">  C. STRONA REKLAMODAWCY — CENY DO USTALENIA ❌</t>
  </si>
  <si>
    <t>Pozycja</t>
  </si>
  <si>
    <t>PLACEHOLDER</t>
  </si>
  <si>
    <t>Zakres rynkowy (PL)</t>
  </si>
  <si>
    <t>Opłata za oklejenie (jednorazowa)</t>
  </si>
  <si>
    <t>zł netto/pojazd</t>
  </si>
  <si>
    <t>❌ BRAK</t>
  </si>
  <si>
    <t>1 500–4 000 zł/pojazd</t>
  </si>
  <si>
    <t>Opłata miesięczna za kampanię</t>
  </si>
  <si>
    <t>zł netto/poj./mies.</t>
  </si>
  <si>
    <t>800–2 000 zł/mies.</t>
  </si>
  <si>
    <t>Opłata za demontaż (jednorazowa)</t>
  </si>
  <si>
    <t>500–1 500 zł/pojazd</t>
  </si>
  <si>
    <t>KALKULATOR UNIT ECONOMICS — 1 POJAZD</t>
  </si>
  <si>
    <t>Zmień żółte pola → reszta liczy się automatycznie</t>
  </si>
  <si>
    <t xml:space="preserve">  📥 DANE WEJŚCIOWE — wypełnij żółte pola</t>
  </si>
  <si>
    <t>Twoja wartość ✏️</t>
  </si>
  <si>
    <t>Typowy zakres</t>
  </si>
  <si>
    <t>Komentarz</t>
  </si>
  <si>
    <t>Km miejskie (mies.)</t>
  </si>
  <si>
    <t>km</t>
  </si>
  <si>
    <t>350–1500</t>
  </si>
  <si>
    <t>70% typowego przebiegu WRZ</t>
  </si>
  <si>
    <t>Km pozamiejskie (mies.)</t>
  </si>
  <si>
    <t>100–600</t>
  </si>
  <si>
    <t>30% typowego przebiegu</t>
  </si>
  <si>
    <t>Cena oklejenia od Reklamodawcy</t>
  </si>
  <si>
    <t>zł netto</t>
  </si>
  <si>
    <t>800–4000</t>
  </si>
  <si>
    <t>PLACEHOLDER — zapytaj 3 foliarnię</t>
  </si>
  <si>
    <t>Opłata miesięczna od Reklamodawcy</t>
  </si>
  <si>
    <t>zł netto/mies.</t>
  </si>
  <si>
    <t>800–2500</t>
  </si>
  <si>
    <t>PLACEHOLDER — ustal po benchmarku</t>
  </si>
  <si>
    <t>Cena demontażu od Reklamodawcy</t>
  </si>
  <si>
    <t>400–1500</t>
  </si>
  <si>
    <t>PLACEHOLDER — zwykle 50% oklejenia</t>
  </si>
  <si>
    <t>Długość kampanii</t>
  </si>
  <si>
    <t>miesiące</t>
  </si>
  <si>
    <t>1–12</t>
  </si>
  <si>
    <t>Typowo 3–6 mies.</t>
  </si>
  <si>
    <t>Koszt GPS/pojazd/mies. (urządzenie+SIM)</t>
  </si>
  <si>
    <t>40–150</t>
  </si>
  <si>
    <t>Teltonika FMB920 ~250 zł + SIM ~20/mies.</t>
  </si>
  <si>
    <t>Koszt ops/pojazd/mies. (koordynacja)</t>
  </si>
  <si>
    <t>50–200</t>
  </si>
  <si>
    <t>2–4h×stawka godzinowa</t>
  </si>
  <si>
    <t xml:space="preserve">  📤 WYNIKI (obliczane automatycznie)</t>
  </si>
  <si>
    <t>Wskaźnik</t>
  </si>
  <si>
    <t>Jedn.</t>
  </si>
  <si>
    <t>Wzór</t>
  </si>
  <si>
    <t>Co oznacza</t>
  </si>
  <si>
    <t>Wynagrodzenie kierowcy / mies.</t>
  </si>
  <si>
    <t>km_m×0.60+km_p×0.25</t>
  </si>
  <si>
    <t>Koszt wypłaty dla 1 kierowcy</t>
  </si>
  <si>
    <t>Przychód jednorazowy (okl.+dem.)</t>
  </si>
  <si>
    <t>Oklejenie+Demontaż</t>
  </si>
  <si>
    <t>Wpływa do AdRide na start+koniec</t>
  </si>
  <si>
    <t>Przychód miesięczny od Rek.</t>
  </si>
  <si>
    <t>Opłata mies. od Reklamodawcy</t>
  </si>
  <si>
    <t>Powtarzalny, MRR</t>
  </si>
  <si>
    <t>PRZYCHÓD TOTAL z kampanii</t>
  </si>
  <si>
    <t>Jednorazowe+(mies.×czas)</t>
  </si>
  <si>
    <t>Łączny przychód 1 pojazd/kampania</t>
  </si>
  <si>
    <t>Koszt wypłat kierowcy (total)</t>
  </si>
  <si>
    <t>Wynagr.mies.×miesiące</t>
  </si>
  <si>
    <t>Łączne wypłaty dla kierowcy</t>
  </si>
  <si>
    <t>Koszt GPS (total)</t>
  </si>
  <si>
    <t>GPS×miesiące</t>
  </si>
  <si>
    <t>Infrastruktura trackingu</t>
  </si>
  <si>
    <t>Koszt ops (total)</t>
  </si>
  <si>
    <t>Ops×miesiące</t>
  </si>
  <si>
    <t>Koordynacja, kontrole, raporty</t>
  </si>
  <si>
    <t>KOSZT TOTAL (1 pojazd/kampania)</t>
  </si>
  <si>
    <t>Kierowca+GPS+Ops</t>
  </si>
  <si>
    <t>Suma wszystkich kosztów</t>
  </si>
  <si>
    <t>MARŻA BRUTTO (zł)</t>
  </si>
  <si>
    <t>Przychód−Koszty</t>
  </si>
  <si>
    <t>Zysk na 1 pojeździe/kampanii</t>
  </si>
  <si>
    <t>MARŻA BRUTTO (%)</t>
  </si>
  <si>
    <t>%</t>
  </si>
  <si>
    <t>Marża/Przychód</t>
  </si>
  <si>
    <t>Cel: &gt;40% przy dobrym modelu</t>
  </si>
  <si>
    <t>Marża miesięczna (op.)</t>
  </si>
  <si>
    <t>Rek.mies.−Kier.−GPS−Ops</t>
  </si>
  <si>
    <t>Zysk mies. per pojazd (MOM)</t>
  </si>
  <si>
    <t>Break-even (mies.)</t>
  </si>
  <si>
    <t>mies.</t>
  </si>
  <si>
    <t>Koszty jednorazowe/marża mies.</t>
  </si>
  <si>
    <t>Po ilu mies. kampania wychodzi na zero</t>
  </si>
  <si>
    <t>SKALOWANIE — EKONOMIKA FLOTY</t>
  </si>
  <si>
    <t>Jak zmienia się rentowność przy różnej liczbie aut (wartości z Kalkulatora UE)</t>
  </si>
  <si>
    <t xml:space="preserve">  ⚠️ CENY PLACEHOLDER (okl.=1200 zł, mies.=1400 zł, dem.=700 zł, kier.=396 zł/mies., GPS=80, ops=100)</t>
  </si>
  <si>
    <t>Liczba pojazdów</t>
  </si>
  <si>
    <t>Przychód jednoraz. (zł)</t>
  </si>
  <si>
    <t>Przychód mies. (zł)</t>
  </si>
  <si>
    <t>Koszt mies. (zł)</t>
  </si>
  <si>
    <t>Marża mies. (zł)</t>
  </si>
  <si>
    <t>Marża mies. (%)</t>
  </si>
  <si>
    <t>Przychód roczny (zł)</t>
  </si>
  <si>
    <t>📌 Zaktualizuj ceny po ustaleniu: zmień wartości w wierszu 3 nagłówka i przelicz ręcznie lub podlinkuj do arkusza 🧮 Kalkulator UE.</t>
  </si>
  <si>
    <t>PAKIET PRAWNY ADRIDE.PL — STATUS KOMPLETNOŚCI</t>
  </si>
  <si>
    <t>15 dokumentów | Regulamin v1.2 | 07.05.2026</t>
  </si>
  <si>
    <t xml:space="preserve">  MAPA DOKUMENTÓW</t>
  </si>
  <si>
    <t>#</t>
  </si>
  <si>
    <t>Dokument</t>
  </si>
  <si>
    <t>Plik źródłowy</t>
  </si>
  <si>
    <t>Kluczowe zapisy</t>
  </si>
  <si>
    <t>Do uzupełnienia przed podpisem</t>
  </si>
  <si>
    <t>Regulamin Platformy AdRide.pl v1.2</t>
  </si>
  <si>
    <t>✅ GOTOWY</t>
  </si>
  <si>
    <t>regulamin-adride-pl.md</t>
  </si>
  <si>
    <t>Stawki 0,60/0,25 zł/km, próg 500 zł, min 500 km/mies., porednik nie pracodawca</t>
  </si>
  <si>
    <t>Ceny dla Reklamodawcy (§6.1 puste)</t>
  </si>
  <si>
    <t>DPIA — Ocena skutków GPS / RODO</t>
  </si>
  <si>
    <t>dpia-gps-adride-4.md</t>
  </si>
  <si>
    <t>8 ryzyk RODO ocenionych, żadne nie pozostaje WYSOKIE po mitygacji</t>
  </si>
  <si>
    <t>Przegląd co 12 mies. lub po zmianie GPS</t>
  </si>
  <si>
    <t>Rachunek / Potwierdzenie wypłaty Kierowcy</t>
  </si>
  <si>
    <t>rachunek-wynagrodzenie-kierowcy-3.md</t>
  </si>
  <si>
    <t>Wzór km miejskie×0,60 + km poza×0,25; PIT-11 dla os.fiz., faktura dla DG</t>
  </si>
  <si>
    <t>Uzupełnić dane przy każdej wypłacie</t>
  </si>
  <si>
    <t>Warunki Aplikacji GPS</t>
  </si>
  <si>
    <t>warunki-aplikacji-gps-5.md</t>
  </si>
  <si>
    <t>Zakaz GPS spoofingu, sankcje: wyzerowanie salda + rozwiązanie umowy</t>
  </si>
  <si>
    <t>Nazwa konkretnej apki GPS — po wyborze dostawcy</t>
  </si>
  <si>
    <t>Protokół zdawczo-odbiorczy (Demontaż)</t>
  </si>
  <si>
    <t>protokol-demontazu-7.md</t>
  </si>
  <si>
    <t>Matryca stanu folii i lakieru; odpowiedzialność: foliarz/Rek./Kierowca/nieznana</t>
  </si>
  <si>
    <t>—</t>
  </si>
  <si>
    <t>Regulamin Reklamacji</t>
  </si>
  <si>
    <t>regulamin-reklamacji-6.md</t>
  </si>
  <si>
    <t>10 kategorii, terminy 3–30 dni rob., 2-instancyjność, nr RKL-RRRR-NNNN</t>
  </si>
  <si>
    <t>Klauzula RODO + Zgody</t>
  </si>
  <si>
    <t>klauzula-rodo-zgody-9.md</t>
  </si>
  <si>
    <t>3 zgody Kierowcy: GPS (wymagana), marketing (opcjonalna), wizerunek (opcjonalna)</t>
  </si>
  <si>
    <t>Umowa Powierzenia Danych (DPA)</t>
  </si>
  <si>
    <t>umowa-powierzenia-dpa-8.md</t>
  </si>
  <si>
    <t>Art. 28 RODO, zakaz transferu poza EOG, 24h na zgłoszenie naruszenia</t>
  </si>
  <si>
    <t>Podpisać z: firmą foliującą, dostawcą GPS, hostem IT</t>
  </si>
  <si>
    <t>Polityka Prywatności AdRide.pl</t>
  </si>
  <si>
    <t>polityka-prywatnosci-adride-13.md</t>
  </si>
  <si>
    <t>GPS: cel=weryfikacja ekspozycji, 12 mies. przechowywania, prawa użytkownika</t>
  </si>
  <si>
    <t>Dodać nazwę dostawcy GPS po wyborze</t>
  </si>
  <si>
    <t>Polityka Cookies</t>
  </si>
  <si>
    <t>polityka-cookies-adride-14.md</t>
  </si>
  <si>
    <t>GA4, Meta Pixel, transfer do USA (SCC), panel zgód</t>
  </si>
  <si>
    <t>Uzupełnić ID GA4 i Pixel po wdrożeniu</t>
  </si>
  <si>
    <t>Zgoda Współwłaściciela (Zał. 1)</t>
  </si>
  <si>
    <t>zal-1-zgoda-wspolwlasciciela-12.md</t>
  </si>
  <si>
    <t>Pisemna zgoda współ., oświadczenie o świadomości wpływu na ubezpieczenie</t>
  </si>
  <si>
    <t>Zlecenie Kampanii (Zał. 2)</t>
  </si>
  <si>
    <t>⚠️ SZKIELET</t>
  </si>
  <si>
    <t>zal-2-zlecenie-kampanii-11.md</t>
  </si>
  <si>
    <t>Struktura: czas trwania, obszar geo, opis materiałów, dane kontaktowe do szkód</t>
  </si>
  <si>
    <t>❌ Ceny, terminy, liczba pojazdów — per kampania</t>
  </si>
  <si>
    <t>Umowa z Reklamodawcą</t>
  </si>
  <si>
    <t>umowa-reklamodawca-adride-10.md</t>
  </si>
  <si>
    <t>Kary 50%/25%, ograniczenie odp. do 3 mies. opłat, pełna struktura §5.1</t>
  </si>
  <si>
    <t>❌ Kwoty opłat (oklejenie, mies., demontaż) PUSTE</t>
  </si>
  <si>
    <t>Umowa z Kierowcą</t>
  </si>
  <si>
    <t>umowa-kierowca-adride-15.md</t>
  </si>
  <si>
    <t>0,60/0,25 zł/km, min 500 km, próg 500 zł, kara 200% za uszkodzenie reklamy</t>
  </si>
  <si>
    <t>Historia prawna i komentarze</t>
  </si>
  <si>
    <t>Jestes-prawnikiem...md</t>
  </si>
  <si>
    <t>Kompletna historia iteracji, komentarze prawne do każdego dokumentu</t>
  </si>
  <si>
    <t>LUKI UNIT ECONOMICS — CO MUSISZ USTALIĆ</t>
  </si>
  <si>
    <t>Zanim wpiszesz liczby do Kalkulatora — te dane są niezbędne</t>
  </si>
  <si>
    <t xml:space="preserve">  🔴 KRYTYCZNE: blokują podpisanie umowy z Reklamodawcą</t>
  </si>
  <si>
    <t>Pytanie / Brak</t>
  </si>
  <si>
    <t>Priorytet</t>
  </si>
  <si>
    <t>Typ</t>
  </si>
  <si>
    <t>Jak ustalić</t>
  </si>
  <si>
    <t>Jaka cena oklejenia 1 pojazdu?
(folia + robocizna + zysk AdRide)</t>
  </si>
  <si>
    <t>🔴 KRYTYCZNY</t>
  </si>
  <si>
    <t>Cena</t>
  </si>
  <si>
    <t>Zapytaj 3 firmy foliujące w Wwa o wycenę oklejenia bocznego+tylnego. Rynek: 1 500–4 000 zł. Decyzja: pass-through vs. marża AdRide.</t>
  </si>
  <si>
    <t>Jaka opłata miesięczna od Reklamodawcy?
(pośrednictwo + GPS + raport)</t>
  </si>
  <si>
    <t>Benchmark: Wrapify USA ~300$/auto/mies. Przetestuj w rozmowie z potencjalnym Rek.: czy 1 000–1 500 zł akceptowalne?</t>
  </si>
  <si>
    <t>Jaka cena demontażu?
(folia + robocizna + zysk AdRide)</t>
  </si>
  <si>
    <t>Razem z ofertą oklejenia — zwykle 30–50% ceny oklejenia. Rynek: 500–1 500 zł.</t>
  </si>
  <si>
    <t>Ile kosztuje GPS na 1 pojazd/mies.?
(urządzenie lub apka + SIM + abonament)</t>
  </si>
  <si>
    <t>Koszt</t>
  </si>
  <si>
    <t>Teltonika FMB920 ~250 zł jednorazowo + SIM ~20 zł/mies. Alternatywa: apka mobilna (tańsza, niższy accuracy).</t>
  </si>
  <si>
    <t>Model rozliczenia z Reklamodawcą:
ryczałt per pojazd vs. per km?</t>
  </si>
  <si>
    <t>Model</t>
  </si>
  <si>
    <t>Ryczałt = prostszy w sprzedaży B2B (cena pewna). Per km = bardziej fair, trudniejszy. Decyzja strategiczna.</t>
  </si>
  <si>
    <t>Realny udział km miejskich vs. poza-miejskich
dla typowego kierowcy warszawskiego</t>
  </si>
  <si>
    <t>🟡 WAŻNY</t>
  </si>
  <si>
    <t>Dane</t>
  </si>
  <si>
    <t>Pilotaż: 5 aut × 30 dni z GPS. Ewentualnie: dane OpenStreetMap lub GUS dot. natężenia ruchu.</t>
  </si>
  <si>
    <t>Ile wynosi koszt ops per pojazd/mies.?
(onboarding, kontrole, raporty, komunikacja)</t>
  </si>
  <si>
    <t>Zmierz czas na 5 pierwszych kampaniach. Estymacja: 2–4h/pojazd/mies. × stawka godzinowa.</t>
  </si>
  <si>
    <t>Jaki % kierowców nie osiągnie min. 500 km?
(churn, awarie GPS, niedostępność)</t>
  </si>
  <si>
    <t>Ryzyko</t>
  </si>
  <si>
    <t>Ustal na pilotażu. Benchmark Wrapify: ~15% attrition rocznie. Wpływa na reliability kampanii.</t>
  </si>
  <si>
    <t>Czy 600 zł/mies. jest realistyczne dla kierowcy?
Przy 0,60/0,25 zł/km</t>
  </si>
  <si>
    <t>🟠 UWAGA</t>
  </si>
  <si>
    <t>Weryfikacja</t>
  </si>
  <si>
    <t>UWAGA od prawnika: 600 zł = 867 km miejskich LUB mix. Przy 800 km (70% miasto) = ~396 zł. Zmień komunikację!</t>
  </si>
  <si>
    <t>⚠️ NIEZGODNOŚĆ</t>
  </si>
  <si>
    <t>Ceny pakietów B2B (Starter/Growth/Scale)
ile aut, ile zł, rabat volumetryczny?</t>
  </si>
  <si>
    <t>Starter: 3 auta, Growth: 10, Scale: 20+. Czy rabat za volumen? Jak długi kontrakt minimalny?</t>
  </si>
  <si>
    <t>Kto wykona oklejenie i demontaż?
Firma foliująca — umowa, DPA</t>
  </si>
  <si>
    <t>Operacje</t>
  </si>
  <si>
    <t>Wybierz firmę w Wwa. Podpisz: (1) Umowę serwisową + (2) DPA (plik gotowy). Termin realizacji: 3–5 dni rob.</t>
  </si>
  <si>
    <t>Dostawca GPS — wybór systemu</t>
  </si>
  <si>
    <t>Technologia</t>
  </si>
  <si>
    <t>Opcje: Teltonika + własny portal, Sygic B2B, Fleetgo, własna apka Flutter/RN. Wybierz 1 przed pilotażem.</t>
  </si>
  <si>
    <t>RAPORT STRATEGICZNY ADRIDE — AKTUALIZACJA v2.0</t>
  </si>
  <si>
    <t>Po analizie 15 dokumentów prawnych | maj 2026</t>
  </si>
  <si>
    <t xml:space="preserve">  OCENA REALIZOWALNOŚCI v2.0</t>
  </si>
  <si>
    <t>Wymiar</t>
  </si>
  <si>
    <t>Ocena v1</t>
  </si>
  <si>
    <t>Ocena v2</t>
  </si>
  <si>
    <t>Zmiana</t>
  </si>
  <si>
    <t>Uzasadnienie (po analizie prawnej)</t>
  </si>
  <si>
    <t>🏪 Rynek i popyt</t>
  </si>
  <si>
    <t>6/10</t>
  </si>
  <si>
    <t>7/10</t>
  </si>
  <si>
    <t>↑+1</t>
  </si>
  <si>
    <t>OOH PL +7% r/r; model globalnie sprawdzony (Wrapify, Carvertise)</t>
  </si>
  <si>
    <t>💰 Zasoby finansowe</t>
  </si>
  <si>
    <t>4/10</t>
  </si>
  <si>
    <t>5/10</t>
  </si>
  <si>
    <t>Pakiet prawny gotowy = oszcz. 30–80k zł na prawnika; ceny nieustalone</t>
  </si>
  <si>
    <t>👥 Zasoby ludzkie</t>
  </si>
  <si>
    <t>→0</t>
  </si>
  <si>
    <t>Brak potwierdzenia PM/operatora — blokada</t>
  </si>
  <si>
    <t>⚙️ Technologia i operacje</t>
  </si>
  <si>
    <t>DPA + DPIA + Warunki GPS prawnie gotowe; brak wyboru dostawcy GPS</t>
  </si>
  <si>
    <t>📅 Czas i harmonogram</t>
  </si>
  <si>
    <t>Komplet umów = można podpisywać TERAZ; skraca Fazę 0 o 4–8 tyg.</t>
  </si>
  <si>
    <t>ŁĄCZNY WSKAŹNIK REALIZOWALNOŚCI</t>
  </si>
  <si>
    <t>27/50 (v1) → 27/50 (v2)</t>
  </si>
  <si>
    <t>54%</t>
  </si>
  <si>
    <t>WYMAGA DOPRACOWANIA — główna blokada: brak cen + brak PM</t>
  </si>
  <si>
    <t xml:space="preserve">  ✅ MOCNE STRONY (zaktualizowane)</t>
  </si>
  <si>
    <t>Obszar</t>
  </si>
  <si>
    <t>Mocna strona</t>
  </si>
  <si>
    <t>Wpływ</t>
  </si>
  <si>
    <t>Źródło</t>
  </si>
  <si>
    <t>Compliance RODO</t>
  </si>
  <si>
    <t>DPIA + DPA + polityki — pełny pakiet</t>
  </si>
  <si>
    <t>9/10</t>
  </si>
  <si>
    <t>dpia, dpa-8</t>
  </si>
  <si>
    <t>Bariera wejścia dla konkurencji</t>
  </si>
  <si>
    <t>Umowy prawne</t>
  </si>
  <si>
    <t>15 dokumentów gotowych do wdrożenia</t>
  </si>
  <si>
    <t>wszystkie .md</t>
  </si>
  <si>
    <t>Normalnie 3–6 mies. i 30–80k zł</t>
  </si>
  <si>
    <t>Model wynagrodzenia</t>
  </si>
  <si>
    <t>Per km z GPS — transparentny, weryfikowalny</t>
  </si>
  <si>
    <t>8/10</t>
  </si>
  <si>
    <t>Umowa Kier. §5</t>
  </si>
  <si>
    <t>Buduje zaufanie kierowców</t>
  </si>
  <si>
    <t>Kary umowne symetryczne</t>
  </si>
  <si>
    <t>Rek.: 50/25%; Kier.: 200% mies. wynagr.</t>
  </si>
  <si>
    <t>Regulamin §8</t>
  </si>
  <si>
    <t>Chronią cash flow</t>
  </si>
  <si>
    <t>Operator = pośrednik</t>
  </si>
  <si>
    <t>Wyłączenie odp. za treść reklamy</t>
  </si>
  <si>
    <t>Umowa Rek. §7</t>
  </si>
  <si>
    <t>Ogranicza ryzyko prawne</t>
  </si>
  <si>
    <t>Regulamin reklamacji</t>
  </si>
  <si>
    <t>2-instancyjny, 10 kategorii, nr RKL-</t>
  </si>
  <si>
    <t>regulamin-rekl.</t>
  </si>
  <si>
    <t>Profesjonalizm platformy</t>
  </si>
  <si>
    <t xml:space="preserve">  ⚠️ SŁABE STRONY (zaktualizowane)</t>
  </si>
  <si>
    <t>Problem</t>
  </si>
  <si>
    <t>Rekomendacja</t>
  </si>
  <si>
    <t>Unit Economics</t>
  </si>
  <si>
    <t>Ceny w umowie B2B = puste pola</t>
  </si>
  <si>
    <t>🔴 WYSOKIE</t>
  </si>
  <si>
    <t>Umowa Rek. §5.1</t>
  </si>
  <si>
    <t>Ustal ceny do 16.05 (patrz arkusz ❓ Luki)</t>
  </si>
  <si>
    <t>Wynagr. kierowcy</t>
  </si>
  <si>
    <t>600 zł NIEGWARANTOWANE; realne 350–400 zł przy 800 km</t>
  </si>
  <si>
    <t>Umowa Kier. §5.1 + komentarz prawnika</t>
  </si>
  <si>
    <t>Zmień komunikację: podaj widełki 350–700 zł</t>
  </si>
  <si>
    <t>GPS — dostawca</t>
  </si>
  <si>
    <t>Warunki apki gotowe, ale apka nie istnieje</t>
  </si>
  <si>
    <t>warunki-aplikacji-gps</t>
  </si>
  <si>
    <t>Wybierz Teltonika/Sygic/własna apka — decyzja TERAZ</t>
  </si>
  <si>
    <t>PM / Operator</t>
  </si>
  <si>
    <t>Brak osoby do prowadzenia operacji kampanii</t>
  </si>
  <si>
    <t>Cała dokumentacja</t>
  </si>
  <si>
    <t>Potwierdź PM do końca maja</t>
  </si>
  <si>
    <t>Model rozlicz.</t>
  </si>
  <si>
    <t>Ryczałt vs. per km dla Rek. — nieustalone</t>
  </si>
  <si>
    <t>🟡 ŚREDNIE</t>
  </si>
  <si>
    <t>Rekomendacja: ryczałt na start = łatwiejsza sprzedaż</t>
  </si>
  <si>
    <t>Ubezpieczenie</t>
  </si>
  <si>
    <t>Bariera adopcji kierowców — AdRide wyłączona z odp.</t>
  </si>
  <si>
    <t>Umowa Kier. §7</t>
  </si>
  <si>
    <t>Rozważ partnerstwo ubezpieczyciel (Compensa Fleet)</t>
  </si>
  <si>
    <t>QUICK WINS — CO ROBISZ W CIĄGU 7 DNI</t>
  </si>
  <si>
    <t>Oparte na analizie dokumentów prawnych i luk UE</t>
  </si>
  <si>
    <t xml:space="preserve">  🎯 TOP 3 PRIORYTETOWE DZIAŁANIA (7 dni)</t>
  </si>
  <si>
    <t>Działanie</t>
  </si>
  <si>
    <t>Termin</t>
  </si>
  <si>
    <t>Właściciel</t>
  </si>
  <si>
    <t>Konkretne kroki</t>
  </si>
  <si>
    <t>KPI sukcesu</t>
  </si>
  <si>
    <t>Ustal ceny dla Reklamodawcy
(oklejenie, mies., demontaż)</t>
  </si>
  <si>
    <t>Do 16.05</t>
  </si>
  <si>
    <t>Ty + Księgowy</t>
  </si>
  <si>
    <t>1. Poproś 3 firmy foliujące o wycenę oklejenia bocznego+tylnego
2. Wycena GPS: Teltonika FMB920 ~250 zł + SIM ~20 zł/mies.
3. Dodaj marżę AdRide 30–50%
4. Wpisz do arkusza 🧮 Kalkulator UE</t>
  </si>
  <si>
    <t>Pola B7/B8/B9 wypełnione</t>
  </si>
  <si>
    <t>Wybierz dostawcę GPS i podpisz DPA
(bez GPS nie ma platformy)</t>
  </si>
  <si>
    <t>Do 20.05</t>
  </si>
  <si>
    <t>Ty</t>
  </si>
  <si>
    <t>1. Zamów próbkę: Teltonika FMB920 + platforma demo
2. Alternatywa tania: apka Sygic B2B lub własna Flutter
3. Podpisz Umowę Powierzenia Danych (plik DPA gotowy)
4. Zaktualizuj Politykę Prywatności o nazwę dostawcy GPS</t>
  </si>
  <si>
    <t>Podpisana DPA + GPS na 1 aucie testowym</t>
  </si>
  <si>
    <t>Pilotaż: 1–3 auta × 30 dni
(walidacja modelu finansowego)</t>
  </si>
  <si>
    <t>Do 15.06</t>
  </si>
  <si>
    <t>Ty + PM</t>
  </si>
  <si>
    <t>1. Wydrukuj i podpisz Umowę z Kierowcą (plik gotowy)
2. Zamów oklejenie testowe
3. Uruchom GPS
4. Po 30 dniach: zmierz realne km miejskie vs. poza-miejskie
5. Zaktualizuj Kalkulator UE o realne dane</t>
  </si>
  <si>
    <t>Znasz realny koszt wynagrodzenia kierowcy</t>
  </si>
  <si>
    <t xml:space="preserve">  🤖 CO MOŻE ZROBIĆ AI — KONKRETNE NARZĘDZIA 2026</t>
  </si>
  <si>
    <t>Zadanie</t>
  </si>
  <si>
    <t>Narzędzie AI</t>
  </si>
  <si>
    <t>Oszczęd-ność</t>
  </si>
  <si>
    <t>Jak wdrożyć</t>
  </si>
  <si>
    <t>Weryfikacja Kierowcy
(zdjęcia auta, dokumenty)</t>
  </si>
  <si>
    <t>Make.com + GPT-4o Vision</t>
  </si>
  <si>
    <t>90%</t>
  </si>
  <si>
    <t>Flow: formularz → GPT sprawdza zdjęcia → TAK/NIE automatycznie</t>
  </si>
  <si>
    <t>Do wdrożenia</t>
  </si>
  <si>
    <t>Miesięczne raporty GPS dla Reklamodawcy</t>
  </si>
  <si>
    <t>Python + GPT + PDF</t>
  </si>
  <si>
    <t>100%</t>
  </si>
  <si>
    <t>Eksport CSV z GPS → GPT pisze komentarz → auto-PDF</t>
  </si>
  <si>
    <t>Onboarding kierowcy (FAQ, pytania)</t>
  </si>
  <si>
    <t>ChatGPT Bot / Tidio AI</t>
  </si>
  <si>
    <t>70%</t>
  </si>
  <si>
    <t>Bot na stronie + WhatsApp Business API</t>
  </si>
  <si>
    <t>Matching Kierowca ↔ Kampania</t>
  </si>
  <si>
    <t>Make.com + Airtable</t>
  </si>
  <si>
    <t>80%</t>
  </si>
  <si>
    <t>Automatyczny matching po kryteriach: obszar, przebieg, rocznik auta</t>
  </si>
  <si>
    <t>Copywriting (strona, maile, oferty)</t>
  </si>
  <si>
    <t>ChatGPT / Claude Sonnet</t>
  </si>
  <si>
    <t>Prompt: kontekst AdRide + brief → gotowa treść</t>
  </si>
  <si>
    <t>Można TERAZ</t>
  </si>
  <si>
    <t>Wystawianie rachunków / PIT-11</t>
  </si>
  <si>
    <t>inFakt API / iFirma API</t>
  </si>
  <si>
    <t>95%</t>
  </si>
  <si>
    <t>Integracja z systemem księgowym po osiągnięciu progu 500 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</si>
</sst>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zł&quot;"/>
    <numFmt numFmtId="165" formatCode="0.0%"/>
    <numFmt numFmtId="166" formatCode="#,##0\ &quot;zł&quot;"/>
  </numFmts>
  <fonts count="3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238"/>
    </font>
    <font>
      <i/>
      <sz val="10"/>
      <color rgb="FFB2B2B2"/>
      <name val="Calibri"/>
      <family val="2"/>
      <charset val="238"/>
    </font>
    <font>
      <b/>
      <sz val="12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rgb="FF1A1A2E"/>
      <name val="Calibri"/>
      <family val="2"/>
      <charset val="238"/>
    </font>
    <font>
      <b/>
      <sz val="11"/>
      <color rgb="FF27AE60"/>
      <name val="Calibri"/>
      <family val="2"/>
      <charset val="238"/>
    </font>
    <font>
      <i/>
      <sz val="11"/>
      <color rgb="FF555555"/>
      <name val="Calibri"/>
      <family val="2"/>
      <charset val="238"/>
    </font>
    <font>
      <b/>
      <sz val="11"/>
      <color rgb="FFE67E22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2"/>
      <color rgb="FF1A5C2A"/>
      <name val="Calibri"/>
      <family val="2"/>
      <charset val="238"/>
    </font>
    <font>
      <i/>
      <sz val="11"/>
      <color rgb="FF000000"/>
      <name val="Calibri"/>
      <family val="2"/>
      <charset val="238"/>
    </font>
    <font>
      <b/>
      <sz val="11"/>
      <color rgb="FFE74C3C"/>
      <name val="Calibri"/>
      <family val="2"/>
      <charset val="238"/>
    </font>
    <font>
      <b/>
      <sz val="12"/>
      <color rgb="FF1A1A2E"/>
      <name val="Calibri"/>
      <family val="2"/>
      <charset val="238"/>
    </font>
    <font>
      <b/>
      <sz val="12"/>
      <color rgb="FF0F3460"/>
      <name val="Calibri"/>
      <family val="2"/>
      <charset val="238"/>
    </font>
    <font>
      <i/>
      <sz val="9"/>
      <color rgb="FF555555"/>
      <name val="Calibri"/>
      <family val="2"/>
      <charset val="238"/>
    </font>
    <font>
      <sz val="11"/>
      <color rgb="FF1A1A2E"/>
      <name val="Calibri"/>
      <family val="2"/>
      <charset val="238"/>
    </font>
    <font>
      <i/>
      <sz val="10"/>
      <color rgb="FF7D3C98"/>
      <name val="Calibri"/>
      <family val="2"/>
      <charset val="238"/>
    </font>
    <font>
      <sz val="9"/>
      <color rgb="FF000000"/>
      <name val="Calibri"/>
      <family val="2"/>
      <charset val="238"/>
    </font>
    <font>
      <sz val="9"/>
      <color rgb="FF555555"/>
      <name val="Calibri"/>
      <family val="2"/>
      <charset val="238"/>
    </font>
    <font>
      <sz val="9"/>
      <color rgb="FFE67E22"/>
      <name val="Calibri"/>
      <family val="2"/>
      <charset val="238"/>
    </font>
    <font>
      <b/>
      <sz val="9"/>
      <color rgb="FFE74C3C"/>
      <name val="Calibri"/>
      <family val="2"/>
      <charset val="238"/>
    </font>
    <font>
      <b/>
      <sz val="9"/>
      <color rgb="FF2980B9"/>
      <name val="Calibri"/>
      <family val="2"/>
      <charset val="238"/>
    </font>
    <font>
      <b/>
      <sz val="9"/>
      <color rgb="FFE67E22"/>
      <name val="Calibri"/>
      <family val="2"/>
      <charset val="238"/>
    </font>
    <font>
      <sz val="11"/>
      <color rgb="FF555555"/>
      <name val="Calibri"/>
      <family val="2"/>
      <charset val="238"/>
    </font>
    <font>
      <b/>
      <sz val="11"/>
      <color rgb="FF0F3460"/>
      <name val="Calibri"/>
      <family val="2"/>
      <charset val="238"/>
    </font>
    <font>
      <b/>
      <sz val="11"/>
      <color rgb="FF888888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z val="9"/>
      <color rgb="FF27AE6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1A6B3A"/>
      </patternFill>
    </fill>
    <fill>
      <patternFill patternType="solid">
        <fgColor rgb="FFFDECEA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E8F8F5"/>
      </patternFill>
    </fill>
    <fill>
      <patternFill patternType="solid">
        <fgColor rgb="FFB22222"/>
      </patternFill>
    </fill>
    <fill>
      <patternFill patternType="solid">
        <fgColor rgb="FFFDF2F2"/>
      </patternFill>
    </fill>
    <fill>
      <patternFill patternType="solid">
        <fgColor rgb="FF1A4A80"/>
      </patternFill>
    </fill>
    <fill>
      <patternFill patternType="solid">
        <fgColor rgb="FFFFF9C4"/>
      </patternFill>
    </fill>
    <fill>
      <patternFill patternType="solid">
        <fgColor rgb="FFD5F5E3"/>
      </patternFill>
    </fill>
    <fill>
      <patternFill patternType="solid">
        <fgColor rgb="FFF9F0FF"/>
      </patternFill>
    </fill>
    <fill>
      <patternFill patternType="solid">
        <fgColor rgb="FFFEF0E7"/>
      </patternFill>
    </fill>
    <fill>
      <patternFill patternType="solid">
        <fgColor rgb="FFE94560"/>
      </patternFill>
    </fill>
    <fill>
      <patternFill patternType="solid">
        <fgColor rgb="FF0A3D62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1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15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64" fontId="15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164" fontId="11" fillId="15" borderId="1" xfId="0" applyNumberFormat="1" applyFont="1" applyFill="1" applyBorder="1" applyAlignment="1">
      <alignment horizontal="center" vertical="center"/>
    </xf>
    <xf numFmtId="165" fontId="11" fillId="1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6" fontId="17" fillId="4" borderId="1" xfId="0" applyNumberFormat="1" applyFont="1" applyFill="1" applyBorder="1" applyAlignment="1">
      <alignment horizontal="center" vertical="center"/>
    </xf>
    <xf numFmtId="166" fontId="7" fillId="15" borderId="1" xfId="0" applyNumberFormat="1" applyFont="1" applyFill="1" applyBorder="1" applyAlignment="1">
      <alignment horizontal="center" vertical="center"/>
    </xf>
    <xf numFmtId="165" fontId="7" fillId="15" borderId="1" xfId="0" applyNumberFormat="1" applyFont="1" applyFill="1" applyBorder="1" applyAlignment="1">
      <alignment horizontal="center" vertical="center"/>
    </xf>
    <xf numFmtId="166" fontId="17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C27" sqref="C27"/>
    </sheetView>
  </sheetViews>
  <sheetFormatPr defaultRowHeight="15" x14ac:dyDescent="0.25"/>
  <cols>
    <col min="1" max="1" width="34" customWidth="1"/>
    <col min="2" max="2" width="22" customWidth="1"/>
    <col min="3" max="3" width="20" customWidth="1"/>
    <col min="4" max="4" width="22" customWidth="1"/>
    <col min="5" max="5" width="28" customWidth="1"/>
  </cols>
  <sheetData>
    <row r="1" spans="1:5" ht="39.950000000000003" customHeight="1" x14ac:dyDescent="0.25">
      <c r="A1" s="105" t="s">
        <v>0</v>
      </c>
      <c r="B1" s="102"/>
      <c r="C1" s="102"/>
      <c r="D1" s="102"/>
      <c r="E1" s="102"/>
    </row>
    <row r="2" spans="1:5" ht="20.100000000000001" customHeight="1" x14ac:dyDescent="0.25">
      <c r="A2" s="103" t="s">
        <v>1</v>
      </c>
      <c r="B2" s="102"/>
      <c r="C2" s="102"/>
      <c r="D2" s="102"/>
      <c r="E2" s="102"/>
    </row>
    <row r="3" spans="1:5" ht="24" customHeight="1" x14ac:dyDescent="0.25">
      <c r="A3" s="106" t="s">
        <v>2</v>
      </c>
      <c r="B3" s="102"/>
      <c r="C3" s="102"/>
      <c r="D3" s="102"/>
      <c r="E3" s="102"/>
    </row>
    <row r="4" spans="1:5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ht="30" x14ac:dyDescent="0.25">
      <c r="A5" s="2" t="s">
        <v>8</v>
      </c>
      <c r="B5" s="3">
        <v>0.6</v>
      </c>
      <c r="C5" s="4" t="s">
        <v>9</v>
      </c>
      <c r="D5" s="5" t="s">
        <v>10</v>
      </c>
      <c r="E5" s="6" t="s">
        <v>11</v>
      </c>
    </row>
    <row r="6" spans="1:5" x14ac:dyDescent="0.25">
      <c r="A6" s="7" t="s">
        <v>12</v>
      </c>
      <c r="B6" s="8">
        <v>0.25</v>
      </c>
      <c r="C6" s="9" t="s">
        <v>9</v>
      </c>
      <c r="D6" s="10" t="s">
        <v>10</v>
      </c>
      <c r="E6" s="11" t="s">
        <v>11</v>
      </c>
    </row>
    <row r="7" spans="1:5" x14ac:dyDescent="0.25">
      <c r="A7" s="2" t="s">
        <v>13</v>
      </c>
      <c r="B7" s="3">
        <v>500</v>
      </c>
      <c r="C7" s="4" t="s">
        <v>14</v>
      </c>
      <c r="D7" s="5" t="s">
        <v>10</v>
      </c>
      <c r="E7" s="6" t="s">
        <v>15</v>
      </c>
    </row>
    <row r="8" spans="1:5" x14ac:dyDescent="0.25">
      <c r="A8" s="7" t="s">
        <v>16</v>
      </c>
      <c r="B8" s="8">
        <v>500</v>
      </c>
      <c r="C8" s="9" t="s">
        <v>17</v>
      </c>
      <c r="D8" s="10" t="s">
        <v>10</v>
      </c>
      <c r="E8" s="11" t="s">
        <v>18</v>
      </c>
    </row>
    <row r="9" spans="1:5" ht="30" x14ac:dyDescent="0.25">
      <c r="A9" s="2" t="s">
        <v>19</v>
      </c>
      <c r="B9" s="3">
        <v>600</v>
      </c>
      <c r="C9" s="4" t="s">
        <v>20</v>
      </c>
      <c r="D9" s="12" t="s">
        <v>21</v>
      </c>
      <c r="E9" s="6" t="s">
        <v>22</v>
      </c>
    </row>
    <row r="10" spans="1:5" ht="30" x14ac:dyDescent="0.25">
      <c r="A10" s="7" t="s">
        <v>23</v>
      </c>
      <c r="B10" s="8" t="s">
        <v>24</v>
      </c>
      <c r="C10" s="9" t="s">
        <v>25</v>
      </c>
      <c r="D10" s="10" t="s">
        <v>10</v>
      </c>
      <c r="E10" s="11" t="s">
        <v>26</v>
      </c>
    </row>
    <row r="12" spans="1:5" ht="24" customHeight="1" x14ac:dyDescent="0.25">
      <c r="A12" s="101" t="s">
        <v>27</v>
      </c>
      <c r="B12" s="102"/>
      <c r="C12" s="102"/>
      <c r="D12" s="102"/>
      <c r="E12" s="102"/>
    </row>
    <row r="13" spans="1:5" ht="27.95" customHeight="1" x14ac:dyDescent="0.25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</row>
    <row r="14" spans="1:5" ht="30" x14ac:dyDescent="0.25">
      <c r="A14" s="13" t="s">
        <v>33</v>
      </c>
      <c r="B14" s="14">
        <v>350</v>
      </c>
      <c r="C14" s="14">
        <v>150</v>
      </c>
      <c r="D14" s="15">
        <v>247.5</v>
      </c>
      <c r="E14" s="16" t="s">
        <v>34</v>
      </c>
    </row>
    <row r="15" spans="1:5" ht="30" x14ac:dyDescent="0.25">
      <c r="A15" s="17" t="s">
        <v>35</v>
      </c>
      <c r="B15" s="18">
        <v>560</v>
      </c>
      <c r="C15" s="18">
        <v>240</v>
      </c>
      <c r="D15" s="19">
        <v>396</v>
      </c>
      <c r="E15" s="20" t="s">
        <v>36</v>
      </c>
    </row>
    <row r="16" spans="1:5" ht="30" x14ac:dyDescent="0.25">
      <c r="A16" s="21" t="s">
        <v>37</v>
      </c>
      <c r="B16" s="22">
        <v>960</v>
      </c>
      <c r="C16" s="22">
        <v>240</v>
      </c>
      <c r="D16" s="23">
        <v>636</v>
      </c>
      <c r="E16" s="24" t="s">
        <v>38</v>
      </c>
    </row>
    <row r="17" spans="1:5" ht="15.75" x14ac:dyDescent="0.25">
      <c r="A17" s="25" t="s">
        <v>39</v>
      </c>
      <c r="B17" s="26">
        <v>1125</v>
      </c>
      <c r="C17" s="26">
        <v>375</v>
      </c>
      <c r="D17" s="27">
        <v>768.75</v>
      </c>
      <c r="E17" s="28" t="s">
        <v>40</v>
      </c>
    </row>
    <row r="19" spans="1:5" ht="24" customHeight="1" x14ac:dyDescent="0.25">
      <c r="A19" s="104" t="s">
        <v>41</v>
      </c>
      <c r="B19" s="102"/>
      <c r="C19" s="102"/>
      <c r="D19" s="102"/>
      <c r="E19" s="102"/>
    </row>
    <row r="20" spans="1:5" ht="27.95" customHeight="1" x14ac:dyDescent="0.25">
      <c r="A20" s="1" t="s">
        <v>42</v>
      </c>
      <c r="B20" s="1" t="s">
        <v>43</v>
      </c>
      <c r="C20" s="1" t="s">
        <v>5</v>
      </c>
      <c r="D20" s="1" t="s">
        <v>6</v>
      </c>
      <c r="E20" s="1" t="s">
        <v>44</v>
      </c>
    </row>
    <row r="21" spans="1:5" x14ac:dyDescent="0.25">
      <c r="A21" s="29" t="s">
        <v>45</v>
      </c>
      <c r="B21" s="30">
        <v>10000</v>
      </c>
      <c r="C21" s="31" t="s">
        <v>46</v>
      </c>
      <c r="D21" s="30" t="s">
        <v>47</v>
      </c>
      <c r="E21" s="32" t="s">
        <v>48</v>
      </c>
    </row>
    <row r="22" spans="1:5" x14ac:dyDescent="0.25">
      <c r="A22" s="33" t="s">
        <v>49</v>
      </c>
      <c r="B22" s="34">
        <v>3000</v>
      </c>
      <c r="C22" s="18" t="s">
        <v>50</v>
      </c>
      <c r="D22" s="34" t="s">
        <v>47</v>
      </c>
      <c r="E22" s="35" t="s">
        <v>51</v>
      </c>
    </row>
    <row r="23" spans="1:5" x14ac:dyDescent="0.25">
      <c r="A23" s="29" t="s">
        <v>52</v>
      </c>
      <c r="B23" s="30">
        <v>2000</v>
      </c>
      <c r="C23" s="31" t="s">
        <v>46</v>
      </c>
      <c r="D23" s="30" t="s">
        <v>47</v>
      </c>
      <c r="E23" s="32" t="s">
        <v>53</v>
      </c>
    </row>
  </sheetData>
  <mergeCells count="5">
    <mergeCell ref="A12:E12"/>
    <mergeCell ref="A2:E2"/>
    <mergeCell ref="A19:E1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B9" sqref="B9"/>
    </sheetView>
  </sheetViews>
  <sheetFormatPr defaultRowHeight="15" x14ac:dyDescent="0.25"/>
  <cols>
    <col min="1" max="1" width="36" customWidth="1"/>
    <col min="2" max="2" width="22" customWidth="1"/>
    <col min="3" max="3" width="18" customWidth="1"/>
    <col min="4" max="4" width="22" customWidth="1"/>
    <col min="5" max="5" width="28" customWidth="1"/>
  </cols>
  <sheetData>
    <row r="1" spans="1:5" ht="39.950000000000003" customHeight="1" x14ac:dyDescent="0.25">
      <c r="A1" s="105" t="s">
        <v>54</v>
      </c>
      <c r="B1" s="102"/>
      <c r="C1" s="102"/>
      <c r="D1" s="102"/>
      <c r="E1" s="102"/>
    </row>
    <row r="2" spans="1:5" ht="20.100000000000001" customHeight="1" x14ac:dyDescent="0.25">
      <c r="A2" s="103" t="s">
        <v>55</v>
      </c>
      <c r="B2" s="102"/>
      <c r="C2" s="102"/>
      <c r="D2" s="102"/>
      <c r="E2" s="102"/>
    </row>
    <row r="3" spans="1:5" ht="24" customHeight="1" x14ac:dyDescent="0.25">
      <c r="A3" s="107" t="s">
        <v>56</v>
      </c>
      <c r="B3" s="102"/>
      <c r="C3" s="102"/>
      <c r="D3" s="102"/>
      <c r="E3" s="102"/>
    </row>
    <row r="4" spans="1:5" ht="27.95" customHeight="1" x14ac:dyDescent="0.25">
      <c r="A4" s="1" t="s">
        <v>3</v>
      </c>
      <c r="B4" s="1" t="s">
        <v>57</v>
      </c>
      <c r="C4" s="1" t="s">
        <v>5</v>
      </c>
      <c r="D4" s="1" t="s">
        <v>58</v>
      </c>
      <c r="E4" s="1" t="s">
        <v>59</v>
      </c>
    </row>
    <row r="5" spans="1:5" ht="30" x14ac:dyDescent="0.25">
      <c r="A5" s="36" t="s">
        <v>60</v>
      </c>
      <c r="B5" s="37">
        <v>560</v>
      </c>
      <c r="C5" s="9" t="s">
        <v>61</v>
      </c>
      <c r="D5" s="38" t="s">
        <v>62</v>
      </c>
      <c r="E5" s="11" t="s">
        <v>63</v>
      </c>
    </row>
    <row r="6" spans="1:5" ht="15.75" x14ac:dyDescent="0.25">
      <c r="A6" s="39" t="s">
        <v>64</v>
      </c>
      <c r="B6" s="37">
        <v>240</v>
      </c>
      <c r="C6" s="4" t="s">
        <v>61</v>
      </c>
      <c r="D6" s="40" t="s">
        <v>65</v>
      </c>
      <c r="E6" s="6" t="s">
        <v>66</v>
      </c>
    </row>
    <row r="7" spans="1:5" ht="30" x14ac:dyDescent="0.25">
      <c r="A7" s="36" t="s">
        <v>67</v>
      </c>
      <c r="B7" s="37">
        <v>2200</v>
      </c>
      <c r="C7" s="9" t="s">
        <v>68</v>
      </c>
      <c r="D7" s="38" t="s">
        <v>69</v>
      </c>
      <c r="E7" s="11" t="s">
        <v>70</v>
      </c>
    </row>
    <row r="8" spans="1:5" ht="30" x14ac:dyDescent="0.25">
      <c r="A8" s="39" t="s">
        <v>71</v>
      </c>
      <c r="B8" s="37">
        <v>1000</v>
      </c>
      <c r="C8" s="4" t="s">
        <v>72</v>
      </c>
      <c r="D8" s="40" t="s">
        <v>73</v>
      </c>
      <c r="E8" s="6" t="s">
        <v>74</v>
      </c>
    </row>
    <row r="9" spans="1:5" ht="30" x14ac:dyDescent="0.25">
      <c r="A9" s="36" t="s">
        <v>75</v>
      </c>
      <c r="B9" s="37">
        <v>500</v>
      </c>
      <c r="C9" s="9" t="s">
        <v>68</v>
      </c>
      <c r="D9" s="38" t="s">
        <v>76</v>
      </c>
      <c r="E9" s="11" t="s">
        <v>77</v>
      </c>
    </row>
    <row r="10" spans="1:5" ht="15.75" x14ac:dyDescent="0.25">
      <c r="A10" s="39" t="s">
        <v>78</v>
      </c>
      <c r="B10" s="37">
        <v>3</v>
      </c>
      <c r="C10" s="4" t="s">
        <v>79</v>
      </c>
      <c r="D10" s="40" t="s">
        <v>80</v>
      </c>
      <c r="E10" s="6" t="s">
        <v>81</v>
      </c>
    </row>
    <row r="11" spans="1:5" ht="30" x14ac:dyDescent="0.25">
      <c r="A11" s="36" t="s">
        <v>82</v>
      </c>
      <c r="B11" s="37">
        <v>200</v>
      </c>
      <c r="C11" s="9" t="s">
        <v>17</v>
      </c>
      <c r="D11" s="38" t="s">
        <v>83</v>
      </c>
      <c r="E11" s="11" t="s">
        <v>84</v>
      </c>
    </row>
    <row r="12" spans="1:5" ht="15.75" x14ac:dyDescent="0.25">
      <c r="A12" s="39" t="s">
        <v>85</v>
      </c>
      <c r="B12" s="37">
        <v>400</v>
      </c>
      <c r="C12" s="4" t="s">
        <v>17</v>
      </c>
      <c r="D12" s="40" t="s">
        <v>86</v>
      </c>
      <c r="E12" s="6" t="s">
        <v>87</v>
      </c>
    </row>
    <row r="14" spans="1:5" ht="24" customHeight="1" x14ac:dyDescent="0.25">
      <c r="A14" s="101" t="s">
        <v>88</v>
      </c>
      <c r="B14" s="102"/>
      <c r="C14" s="102"/>
      <c r="D14" s="102"/>
      <c r="E14" s="102"/>
    </row>
    <row r="15" spans="1:5" ht="27.95" customHeight="1" x14ac:dyDescent="0.25">
      <c r="A15" s="1" t="s">
        <v>89</v>
      </c>
      <c r="B15" s="1" t="s">
        <v>4</v>
      </c>
      <c r="C15" s="1" t="s">
        <v>90</v>
      </c>
      <c r="D15" s="1" t="s">
        <v>91</v>
      </c>
      <c r="E15" s="1" t="s">
        <v>92</v>
      </c>
    </row>
    <row r="16" spans="1:5" ht="15.75" x14ac:dyDescent="0.25">
      <c r="A16" s="2" t="s">
        <v>93</v>
      </c>
      <c r="B16" s="41">
        <f>B5*0.6+B6*0.25</f>
        <v>396</v>
      </c>
      <c r="C16" s="4" t="s">
        <v>20</v>
      </c>
      <c r="D16" s="42" t="s">
        <v>94</v>
      </c>
      <c r="E16" s="6" t="s">
        <v>95</v>
      </c>
    </row>
    <row r="17" spans="1:5" ht="30" x14ac:dyDescent="0.25">
      <c r="A17" s="7" t="s">
        <v>96</v>
      </c>
      <c r="B17" s="43">
        <f>B7+B9</f>
        <v>2700</v>
      </c>
      <c r="C17" s="9" t="s">
        <v>17</v>
      </c>
      <c r="D17" s="44" t="s">
        <v>97</v>
      </c>
      <c r="E17" s="11" t="s">
        <v>98</v>
      </c>
    </row>
    <row r="18" spans="1:5" ht="24" x14ac:dyDescent="0.25">
      <c r="A18" s="2" t="s">
        <v>99</v>
      </c>
      <c r="B18" s="41">
        <f>B8</f>
        <v>1000</v>
      </c>
      <c r="C18" s="4" t="s">
        <v>20</v>
      </c>
      <c r="D18" s="42" t="s">
        <v>100</v>
      </c>
      <c r="E18" s="6" t="s">
        <v>101</v>
      </c>
    </row>
    <row r="19" spans="1:5" ht="30" x14ac:dyDescent="0.25">
      <c r="A19" s="45" t="s">
        <v>102</v>
      </c>
      <c r="B19" s="46">
        <f>B7+B9+(B8*B10)</f>
        <v>5700</v>
      </c>
      <c r="C19" s="9" t="s">
        <v>17</v>
      </c>
      <c r="D19" s="44" t="s">
        <v>103</v>
      </c>
      <c r="E19" s="11" t="s">
        <v>104</v>
      </c>
    </row>
    <row r="20" spans="1:5" ht="15.75" x14ac:dyDescent="0.25">
      <c r="A20" s="2" t="s">
        <v>105</v>
      </c>
      <c r="B20" s="41">
        <f>B16*B10</f>
        <v>1188</v>
      </c>
      <c r="C20" s="4" t="s">
        <v>17</v>
      </c>
      <c r="D20" s="42" t="s">
        <v>106</v>
      </c>
      <c r="E20" s="6" t="s">
        <v>107</v>
      </c>
    </row>
    <row r="21" spans="1:5" ht="15.75" x14ac:dyDescent="0.25">
      <c r="A21" s="7" t="s">
        <v>108</v>
      </c>
      <c r="B21" s="43">
        <f>B11*B10</f>
        <v>600</v>
      </c>
      <c r="C21" s="9" t="s">
        <v>17</v>
      </c>
      <c r="D21" s="44" t="s">
        <v>109</v>
      </c>
      <c r="E21" s="11" t="s">
        <v>110</v>
      </c>
    </row>
    <row r="22" spans="1:5" ht="30" x14ac:dyDescent="0.25">
      <c r="A22" s="2" t="s">
        <v>111</v>
      </c>
      <c r="B22" s="41">
        <f>B12*B10</f>
        <v>1200</v>
      </c>
      <c r="C22" s="4" t="s">
        <v>17</v>
      </c>
      <c r="D22" s="42" t="s">
        <v>112</v>
      </c>
      <c r="E22" s="6" t="s">
        <v>113</v>
      </c>
    </row>
    <row r="23" spans="1:5" ht="15.75" x14ac:dyDescent="0.25">
      <c r="A23" s="45" t="s">
        <v>114</v>
      </c>
      <c r="B23" s="46">
        <f>B20+B21+B22</f>
        <v>2988</v>
      </c>
      <c r="C23" s="9" t="s">
        <v>17</v>
      </c>
      <c r="D23" s="44" t="s">
        <v>115</v>
      </c>
      <c r="E23" s="11" t="s">
        <v>116</v>
      </c>
    </row>
    <row r="24" spans="1:5" ht="15.75" x14ac:dyDescent="0.25">
      <c r="A24" s="45" t="s">
        <v>117</v>
      </c>
      <c r="B24" s="46">
        <f>B19-B23</f>
        <v>2712</v>
      </c>
      <c r="C24" s="4" t="s">
        <v>17</v>
      </c>
      <c r="D24" s="42" t="s">
        <v>118</v>
      </c>
      <c r="E24" s="6" t="s">
        <v>119</v>
      </c>
    </row>
    <row r="25" spans="1:5" ht="30" x14ac:dyDescent="0.25">
      <c r="A25" s="45" t="s">
        <v>120</v>
      </c>
      <c r="B25" s="47">
        <f>IF(B19&gt;0,B24/B19,0)</f>
        <v>0.47578947368421054</v>
      </c>
      <c r="C25" s="9" t="s">
        <v>121</v>
      </c>
      <c r="D25" s="44" t="s">
        <v>122</v>
      </c>
      <c r="E25" s="11" t="s">
        <v>123</v>
      </c>
    </row>
    <row r="26" spans="1:5" ht="15.75" x14ac:dyDescent="0.25">
      <c r="A26" s="2" t="s">
        <v>124</v>
      </c>
      <c r="B26" s="41">
        <f>B8-B16-B11-B12</f>
        <v>4</v>
      </c>
      <c r="C26" s="4" t="s">
        <v>20</v>
      </c>
      <c r="D26" s="42" t="s">
        <v>125</v>
      </c>
      <c r="E26" s="6" t="s">
        <v>126</v>
      </c>
    </row>
    <row r="27" spans="1:5" ht="30" x14ac:dyDescent="0.25">
      <c r="A27" s="7" t="s">
        <v>127</v>
      </c>
      <c r="B27" s="48">
        <f>IF(B26&gt;0,-(B7+B9)/B26,"N/A")</f>
        <v>-675</v>
      </c>
      <c r="C27" s="9" t="s">
        <v>128</v>
      </c>
      <c r="D27" s="44" t="s">
        <v>129</v>
      </c>
      <c r="E27" s="11" t="s">
        <v>130</v>
      </c>
    </row>
  </sheetData>
  <mergeCells count="4">
    <mergeCell ref="A2:E2"/>
    <mergeCell ref="A14:E14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H16" sqref="H16"/>
    </sheetView>
  </sheetViews>
  <sheetFormatPr defaultRowHeight="15" x14ac:dyDescent="0.25"/>
  <cols>
    <col min="1" max="1" width="20" customWidth="1"/>
    <col min="2" max="5" width="22" customWidth="1"/>
    <col min="6" max="6" width="18" customWidth="1"/>
    <col min="7" max="7" width="22" customWidth="1"/>
  </cols>
  <sheetData>
    <row r="1" spans="1:7" ht="39.950000000000003" customHeight="1" x14ac:dyDescent="0.25">
      <c r="A1" s="105" t="s">
        <v>131</v>
      </c>
      <c r="B1" s="102"/>
      <c r="C1" s="102"/>
      <c r="D1" s="102"/>
      <c r="E1" s="102"/>
      <c r="F1" s="102"/>
      <c r="G1" s="102"/>
    </row>
    <row r="2" spans="1:7" ht="20.100000000000001" customHeight="1" x14ac:dyDescent="0.25">
      <c r="A2" s="103" t="s">
        <v>132</v>
      </c>
      <c r="B2" s="102"/>
      <c r="C2" s="102"/>
      <c r="D2" s="102"/>
      <c r="E2" s="102"/>
      <c r="F2" s="102"/>
      <c r="G2" s="102"/>
    </row>
    <row r="3" spans="1:7" ht="24" customHeight="1" x14ac:dyDescent="0.25">
      <c r="A3" s="104" t="s">
        <v>133</v>
      </c>
      <c r="B3" s="102"/>
      <c r="C3" s="102"/>
      <c r="D3" s="102"/>
      <c r="E3" s="102"/>
      <c r="F3" s="102"/>
      <c r="G3" s="102"/>
    </row>
    <row r="4" spans="1:7" ht="27.95" customHeight="1" x14ac:dyDescent="0.25">
      <c r="A4" s="1" t="s">
        <v>134</v>
      </c>
      <c r="B4" s="1" t="s">
        <v>135</v>
      </c>
      <c r="C4" s="1" t="s">
        <v>136</v>
      </c>
      <c r="D4" s="1" t="s">
        <v>137</v>
      </c>
      <c r="E4" s="1" t="s">
        <v>138</v>
      </c>
      <c r="F4" s="1" t="s">
        <v>139</v>
      </c>
      <c r="G4" s="1" t="s">
        <v>140</v>
      </c>
    </row>
    <row r="5" spans="1:7" x14ac:dyDescent="0.25">
      <c r="A5" s="4">
        <v>1</v>
      </c>
      <c r="B5" s="49">
        <v>1900</v>
      </c>
      <c r="C5" s="49">
        <v>1400</v>
      </c>
      <c r="D5" s="49">
        <v>576</v>
      </c>
      <c r="E5" s="50">
        <v>824</v>
      </c>
      <c r="F5" s="51">
        <v>0.58857142857142852</v>
      </c>
      <c r="G5" s="49">
        <v>18700</v>
      </c>
    </row>
    <row r="6" spans="1:7" x14ac:dyDescent="0.25">
      <c r="A6" s="9">
        <v>3</v>
      </c>
      <c r="B6" s="52">
        <v>5700</v>
      </c>
      <c r="C6" s="52">
        <v>4200</v>
      </c>
      <c r="D6" s="52">
        <v>1728</v>
      </c>
      <c r="E6" s="50">
        <v>2472</v>
      </c>
      <c r="F6" s="51">
        <v>0.58857142857142852</v>
      </c>
      <c r="G6" s="52">
        <v>56100</v>
      </c>
    </row>
    <row r="7" spans="1:7" x14ac:dyDescent="0.25">
      <c r="A7" s="4">
        <v>5</v>
      </c>
      <c r="B7" s="49">
        <v>9500</v>
      </c>
      <c r="C7" s="49">
        <v>7000</v>
      </c>
      <c r="D7" s="49">
        <v>2880</v>
      </c>
      <c r="E7" s="50">
        <v>4120</v>
      </c>
      <c r="F7" s="51">
        <v>0.58857142857142852</v>
      </c>
      <c r="G7" s="49">
        <v>93500</v>
      </c>
    </row>
    <row r="8" spans="1:7" x14ac:dyDescent="0.25">
      <c r="A8" s="53">
        <v>10</v>
      </c>
      <c r="B8" s="54">
        <v>19000</v>
      </c>
      <c r="C8" s="54">
        <v>14000</v>
      </c>
      <c r="D8" s="54">
        <v>5760</v>
      </c>
      <c r="E8" s="50">
        <v>8240</v>
      </c>
      <c r="F8" s="51">
        <v>0.58857142857142852</v>
      </c>
      <c r="G8" s="54">
        <v>187000</v>
      </c>
    </row>
    <row r="9" spans="1:7" x14ac:dyDescent="0.25">
      <c r="A9" s="4">
        <v>15</v>
      </c>
      <c r="B9" s="49">
        <v>28500</v>
      </c>
      <c r="C9" s="49">
        <v>21000</v>
      </c>
      <c r="D9" s="49">
        <v>8640</v>
      </c>
      <c r="E9" s="50">
        <v>12360</v>
      </c>
      <c r="F9" s="51">
        <v>0.58857142857142852</v>
      </c>
      <c r="G9" s="49">
        <v>280500</v>
      </c>
    </row>
    <row r="10" spans="1:7" x14ac:dyDescent="0.25">
      <c r="A10" s="53">
        <v>20</v>
      </c>
      <c r="B10" s="54">
        <v>38000</v>
      </c>
      <c r="C10" s="54">
        <v>28000</v>
      </c>
      <c r="D10" s="54">
        <v>11520</v>
      </c>
      <c r="E10" s="50">
        <v>16480</v>
      </c>
      <c r="F10" s="51">
        <v>0.58857142857142852</v>
      </c>
      <c r="G10" s="54">
        <v>374000</v>
      </c>
    </row>
    <row r="11" spans="1:7" x14ac:dyDescent="0.25">
      <c r="A11" s="4">
        <v>30</v>
      </c>
      <c r="B11" s="49">
        <v>57000</v>
      </c>
      <c r="C11" s="49">
        <v>42000</v>
      </c>
      <c r="D11" s="49">
        <v>17280</v>
      </c>
      <c r="E11" s="50">
        <v>24720</v>
      </c>
      <c r="F11" s="51">
        <v>0.58857142857142852</v>
      </c>
      <c r="G11" s="49">
        <v>561000</v>
      </c>
    </row>
    <row r="12" spans="1:7" x14ac:dyDescent="0.25">
      <c r="A12" s="9">
        <v>50</v>
      </c>
      <c r="B12" s="52">
        <v>95000</v>
      </c>
      <c r="C12" s="52">
        <v>70000</v>
      </c>
      <c r="D12" s="52">
        <v>28800</v>
      </c>
      <c r="E12" s="50">
        <v>41200</v>
      </c>
      <c r="F12" s="51">
        <v>0.58857142857142852</v>
      </c>
      <c r="G12" s="52">
        <v>935000</v>
      </c>
    </row>
    <row r="14" spans="1:7" ht="30" customHeight="1" x14ac:dyDescent="0.25">
      <c r="A14" s="108" t="s">
        <v>141</v>
      </c>
      <c r="B14" s="102"/>
      <c r="C14" s="102"/>
      <c r="D14" s="102"/>
      <c r="E14" s="102"/>
      <c r="F14" s="102"/>
      <c r="G14" s="102"/>
    </row>
  </sheetData>
  <mergeCells count="4">
    <mergeCell ref="A3:G3"/>
    <mergeCell ref="A2:G2"/>
    <mergeCell ref="A1:G1"/>
    <mergeCell ref="A14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F1"/>
    </sheetView>
  </sheetViews>
  <sheetFormatPr defaultRowHeight="15" x14ac:dyDescent="0.25"/>
  <cols>
    <col min="1" max="1" width="5" customWidth="1"/>
    <col min="2" max="2" width="36" customWidth="1"/>
    <col min="3" max="3" width="18" customWidth="1"/>
    <col min="4" max="4" width="20" customWidth="1"/>
    <col min="5" max="5" width="40" customWidth="1"/>
    <col min="6" max="6" width="32" customWidth="1"/>
  </cols>
  <sheetData>
    <row r="1" spans="1:6" ht="39.950000000000003" customHeight="1" x14ac:dyDescent="0.25">
      <c r="A1" s="105" t="s">
        <v>142</v>
      </c>
      <c r="B1" s="102"/>
      <c r="C1" s="102"/>
      <c r="D1" s="102"/>
      <c r="E1" s="102"/>
      <c r="F1" s="102"/>
    </row>
    <row r="2" spans="1:6" ht="20.100000000000001" customHeight="1" x14ac:dyDescent="0.25">
      <c r="A2" s="103" t="s">
        <v>143</v>
      </c>
      <c r="B2" s="102"/>
      <c r="C2" s="102"/>
      <c r="D2" s="102"/>
      <c r="E2" s="102"/>
      <c r="F2" s="102"/>
    </row>
    <row r="3" spans="1:6" ht="24" customHeight="1" x14ac:dyDescent="0.25">
      <c r="A3" s="106" t="s">
        <v>144</v>
      </c>
      <c r="B3" s="102"/>
      <c r="C3" s="102"/>
      <c r="D3" s="102"/>
      <c r="E3" s="102"/>
      <c r="F3" s="102"/>
    </row>
    <row r="4" spans="1:6" ht="27.95" customHeight="1" x14ac:dyDescent="0.25">
      <c r="A4" s="1" t="s">
        <v>145</v>
      </c>
      <c r="B4" s="1" t="s">
        <v>146</v>
      </c>
      <c r="C4" s="1" t="s">
        <v>6</v>
      </c>
      <c r="D4" s="1" t="s">
        <v>147</v>
      </c>
      <c r="E4" s="1" t="s">
        <v>148</v>
      </c>
      <c r="F4" s="1" t="s">
        <v>149</v>
      </c>
    </row>
    <row r="5" spans="1:6" ht="39.950000000000003" customHeight="1" x14ac:dyDescent="0.25">
      <c r="A5" s="55">
        <v>1</v>
      </c>
      <c r="B5" s="39" t="s">
        <v>150</v>
      </c>
      <c r="C5" s="5" t="s">
        <v>151</v>
      </c>
      <c r="D5" s="56" t="s">
        <v>152</v>
      </c>
      <c r="E5" s="57" t="s">
        <v>153</v>
      </c>
      <c r="F5" s="58" t="s">
        <v>154</v>
      </c>
    </row>
    <row r="6" spans="1:6" ht="39.950000000000003" customHeight="1" x14ac:dyDescent="0.25">
      <c r="A6" s="53">
        <v>2</v>
      </c>
      <c r="B6" s="36" t="s">
        <v>155</v>
      </c>
      <c r="C6" s="10" t="s">
        <v>151</v>
      </c>
      <c r="D6" s="59" t="s">
        <v>156</v>
      </c>
      <c r="E6" s="60" t="s">
        <v>157</v>
      </c>
      <c r="F6" s="61" t="s">
        <v>158</v>
      </c>
    </row>
    <row r="7" spans="1:6" ht="39.950000000000003" customHeight="1" x14ac:dyDescent="0.25">
      <c r="A7" s="55">
        <v>3</v>
      </c>
      <c r="B7" s="39" t="s">
        <v>159</v>
      </c>
      <c r="C7" s="5" t="s">
        <v>151</v>
      </c>
      <c r="D7" s="56" t="s">
        <v>160</v>
      </c>
      <c r="E7" s="57" t="s">
        <v>161</v>
      </c>
      <c r="F7" s="62" t="s">
        <v>162</v>
      </c>
    </row>
    <row r="8" spans="1:6" ht="39.950000000000003" customHeight="1" x14ac:dyDescent="0.25">
      <c r="A8" s="53">
        <v>4</v>
      </c>
      <c r="B8" s="36" t="s">
        <v>163</v>
      </c>
      <c r="C8" s="10" t="s">
        <v>151</v>
      </c>
      <c r="D8" s="59" t="s">
        <v>164</v>
      </c>
      <c r="E8" s="60" t="s">
        <v>165</v>
      </c>
      <c r="F8" s="61" t="s">
        <v>166</v>
      </c>
    </row>
    <row r="9" spans="1:6" ht="39.950000000000003" customHeight="1" x14ac:dyDescent="0.25">
      <c r="A9" s="55">
        <v>5</v>
      </c>
      <c r="B9" s="39" t="s">
        <v>167</v>
      </c>
      <c r="C9" s="5" t="s">
        <v>151</v>
      </c>
      <c r="D9" s="56" t="s">
        <v>168</v>
      </c>
      <c r="E9" s="57" t="s">
        <v>169</v>
      </c>
      <c r="F9" s="58" t="s">
        <v>170</v>
      </c>
    </row>
    <row r="10" spans="1:6" ht="39.950000000000003" customHeight="1" x14ac:dyDescent="0.25">
      <c r="A10" s="53">
        <v>6</v>
      </c>
      <c r="B10" s="36" t="s">
        <v>171</v>
      </c>
      <c r="C10" s="10" t="s">
        <v>151</v>
      </c>
      <c r="D10" s="59" t="s">
        <v>172</v>
      </c>
      <c r="E10" s="60" t="s">
        <v>173</v>
      </c>
      <c r="F10" s="61" t="s">
        <v>170</v>
      </c>
    </row>
    <row r="11" spans="1:6" ht="39.950000000000003" customHeight="1" x14ac:dyDescent="0.25">
      <c r="A11" s="55">
        <v>7</v>
      </c>
      <c r="B11" s="39" t="s">
        <v>174</v>
      </c>
      <c r="C11" s="5" t="s">
        <v>151</v>
      </c>
      <c r="D11" s="56" t="s">
        <v>175</v>
      </c>
      <c r="E11" s="57" t="s">
        <v>176</v>
      </c>
      <c r="F11" s="58" t="s">
        <v>170</v>
      </c>
    </row>
    <row r="12" spans="1:6" ht="39.950000000000003" customHeight="1" x14ac:dyDescent="0.25">
      <c r="A12" s="53">
        <v>8</v>
      </c>
      <c r="B12" s="36" t="s">
        <v>177</v>
      </c>
      <c r="C12" s="10" t="s">
        <v>151</v>
      </c>
      <c r="D12" s="59" t="s">
        <v>178</v>
      </c>
      <c r="E12" s="60" t="s">
        <v>179</v>
      </c>
      <c r="F12" s="63" t="s">
        <v>180</v>
      </c>
    </row>
    <row r="13" spans="1:6" ht="39.950000000000003" customHeight="1" x14ac:dyDescent="0.25">
      <c r="A13" s="55">
        <v>9</v>
      </c>
      <c r="B13" s="39" t="s">
        <v>181</v>
      </c>
      <c r="C13" s="5" t="s">
        <v>151</v>
      </c>
      <c r="D13" s="56" t="s">
        <v>182</v>
      </c>
      <c r="E13" s="57" t="s">
        <v>183</v>
      </c>
      <c r="F13" s="62" t="s">
        <v>184</v>
      </c>
    </row>
    <row r="14" spans="1:6" ht="39.950000000000003" customHeight="1" x14ac:dyDescent="0.25">
      <c r="A14" s="53">
        <v>10</v>
      </c>
      <c r="B14" s="36" t="s">
        <v>185</v>
      </c>
      <c r="C14" s="10" t="s">
        <v>151</v>
      </c>
      <c r="D14" s="59" t="s">
        <v>186</v>
      </c>
      <c r="E14" s="60" t="s">
        <v>187</v>
      </c>
      <c r="F14" s="63" t="s">
        <v>188</v>
      </c>
    </row>
    <row r="15" spans="1:6" ht="39.950000000000003" customHeight="1" x14ac:dyDescent="0.25">
      <c r="A15" s="55">
        <v>11</v>
      </c>
      <c r="B15" s="39" t="s">
        <v>189</v>
      </c>
      <c r="C15" s="5" t="s">
        <v>151</v>
      </c>
      <c r="D15" s="56" t="s">
        <v>190</v>
      </c>
      <c r="E15" s="57" t="s">
        <v>191</v>
      </c>
      <c r="F15" s="58" t="s">
        <v>170</v>
      </c>
    </row>
    <row r="16" spans="1:6" ht="39.950000000000003" customHeight="1" x14ac:dyDescent="0.25">
      <c r="A16" s="53">
        <v>12</v>
      </c>
      <c r="B16" s="36" t="s">
        <v>192</v>
      </c>
      <c r="C16" s="64" t="s">
        <v>193</v>
      </c>
      <c r="D16" s="59" t="s">
        <v>194</v>
      </c>
      <c r="E16" s="60" t="s">
        <v>195</v>
      </c>
      <c r="F16" s="65" t="s">
        <v>196</v>
      </c>
    </row>
    <row r="17" spans="1:6" ht="39.950000000000003" customHeight="1" x14ac:dyDescent="0.25">
      <c r="A17" s="55">
        <v>13</v>
      </c>
      <c r="B17" s="39" t="s">
        <v>197</v>
      </c>
      <c r="C17" s="12" t="s">
        <v>193</v>
      </c>
      <c r="D17" s="56" t="s">
        <v>198</v>
      </c>
      <c r="E17" s="57" t="s">
        <v>199</v>
      </c>
      <c r="F17" s="66" t="s">
        <v>200</v>
      </c>
    </row>
    <row r="18" spans="1:6" ht="39.950000000000003" customHeight="1" x14ac:dyDescent="0.25">
      <c r="A18" s="53">
        <v>14</v>
      </c>
      <c r="B18" s="36" t="s">
        <v>201</v>
      </c>
      <c r="C18" s="10" t="s">
        <v>151</v>
      </c>
      <c r="D18" s="59" t="s">
        <v>202</v>
      </c>
      <c r="E18" s="60" t="s">
        <v>203</v>
      </c>
      <c r="F18" s="61" t="s">
        <v>170</v>
      </c>
    </row>
    <row r="19" spans="1:6" ht="39.950000000000003" customHeight="1" x14ac:dyDescent="0.25">
      <c r="A19" s="55">
        <v>15</v>
      </c>
      <c r="B19" s="39" t="s">
        <v>204</v>
      </c>
      <c r="C19" s="5" t="s">
        <v>151</v>
      </c>
      <c r="D19" s="56" t="s">
        <v>205</v>
      </c>
      <c r="E19" s="57" t="s">
        <v>206</v>
      </c>
      <c r="F19" s="58" t="s">
        <v>170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sqref="A1:F1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4" width="15" customWidth="1"/>
    <col min="5" max="5" width="42" customWidth="1"/>
    <col min="6" max="6" width="20" customWidth="1"/>
  </cols>
  <sheetData>
    <row r="1" spans="1:6" ht="39.950000000000003" customHeight="1" x14ac:dyDescent="0.25">
      <c r="A1" s="105" t="s">
        <v>207</v>
      </c>
      <c r="B1" s="102"/>
      <c r="C1" s="102"/>
      <c r="D1" s="102"/>
      <c r="E1" s="102"/>
      <c r="F1" s="102"/>
    </row>
    <row r="2" spans="1:6" ht="20.100000000000001" customHeight="1" x14ac:dyDescent="0.25">
      <c r="A2" s="103" t="s">
        <v>208</v>
      </c>
      <c r="B2" s="102"/>
      <c r="C2" s="102"/>
      <c r="D2" s="102"/>
      <c r="E2" s="102"/>
      <c r="F2" s="102"/>
    </row>
    <row r="3" spans="1:6" ht="24" customHeight="1" x14ac:dyDescent="0.25">
      <c r="A3" s="104" t="s">
        <v>209</v>
      </c>
      <c r="B3" s="102"/>
      <c r="C3" s="102"/>
      <c r="D3" s="102"/>
      <c r="E3" s="102"/>
      <c r="F3" s="102"/>
    </row>
    <row r="4" spans="1:6" ht="27.95" customHeight="1" x14ac:dyDescent="0.25">
      <c r="A4" s="1" t="s">
        <v>145</v>
      </c>
      <c r="B4" s="1" t="s">
        <v>210</v>
      </c>
      <c r="C4" s="1" t="s">
        <v>211</v>
      </c>
      <c r="D4" s="1" t="s">
        <v>212</v>
      </c>
      <c r="E4" s="1" t="s">
        <v>213</v>
      </c>
      <c r="F4" s="1" t="s">
        <v>6</v>
      </c>
    </row>
    <row r="5" spans="1:6" ht="51.95" customHeight="1" x14ac:dyDescent="0.25">
      <c r="A5" s="67">
        <v>1</v>
      </c>
      <c r="B5" s="13" t="s">
        <v>214</v>
      </c>
      <c r="C5" s="68" t="s">
        <v>215</v>
      </c>
      <c r="D5" s="14" t="s">
        <v>216</v>
      </c>
      <c r="E5" s="69" t="s">
        <v>217</v>
      </c>
      <c r="F5" s="70" t="s">
        <v>47</v>
      </c>
    </row>
    <row r="6" spans="1:6" ht="51.95" customHeight="1" x14ac:dyDescent="0.25">
      <c r="A6" s="67">
        <v>2</v>
      </c>
      <c r="B6" s="13" t="s">
        <v>218</v>
      </c>
      <c r="C6" s="68" t="s">
        <v>215</v>
      </c>
      <c r="D6" s="14" t="s">
        <v>216</v>
      </c>
      <c r="E6" s="69" t="s">
        <v>219</v>
      </c>
      <c r="F6" s="70" t="s">
        <v>47</v>
      </c>
    </row>
    <row r="7" spans="1:6" ht="51.95" customHeight="1" x14ac:dyDescent="0.25">
      <c r="A7" s="67">
        <v>3</v>
      </c>
      <c r="B7" s="13" t="s">
        <v>220</v>
      </c>
      <c r="C7" s="68" t="s">
        <v>215</v>
      </c>
      <c r="D7" s="14" t="s">
        <v>216</v>
      </c>
      <c r="E7" s="69" t="s">
        <v>221</v>
      </c>
      <c r="F7" s="70" t="s">
        <v>47</v>
      </c>
    </row>
    <row r="8" spans="1:6" ht="51.95" customHeight="1" x14ac:dyDescent="0.25">
      <c r="A8" s="67">
        <v>4</v>
      </c>
      <c r="B8" s="13" t="s">
        <v>222</v>
      </c>
      <c r="C8" s="68" t="s">
        <v>215</v>
      </c>
      <c r="D8" s="14" t="s">
        <v>223</v>
      </c>
      <c r="E8" s="69" t="s">
        <v>224</v>
      </c>
      <c r="F8" s="70" t="s">
        <v>47</v>
      </c>
    </row>
    <row r="9" spans="1:6" ht="51.95" customHeight="1" x14ac:dyDescent="0.25">
      <c r="A9" s="67">
        <v>5</v>
      </c>
      <c r="B9" s="13" t="s">
        <v>225</v>
      </c>
      <c r="C9" s="68" t="s">
        <v>215</v>
      </c>
      <c r="D9" s="14" t="s">
        <v>226</v>
      </c>
      <c r="E9" s="69" t="s">
        <v>227</v>
      </c>
      <c r="F9" s="70" t="s">
        <v>47</v>
      </c>
    </row>
    <row r="10" spans="1:6" ht="51.95" customHeight="1" x14ac:dyDescent="0.25">
      <c r="A10" s="55">
        <v>6</v>
      </c>
      <c r="B10" s="2" t="s">
        <v>228</v>
      </c>
      <c r="C10" s="71" t="s">
        <v>229</v>
      </c>
      <c r="D10" s="4" t="s">
        <v>230</v>
      </c>
      <c r="E10" s="57" t="s">
        <v>231</v>
      </c>
      <c r="F10" s="72" t="s">
        <v>47</v>
      </c>
    </row>
    <row r="11" spans="1:6" ht="51.95" customHeight="1" x14ac:dyDescent="0.25">
      <c r="A11" s="55">
        <v>7</v>
      </c>
      <c r="B11" s="2" t="s">
        <v>232</v>
      </c>
      <c r="C11" s="71" t="s">
        <v>229</v>
      </c>
      <c r="D11" s="4" t="s">
        <v>223</v>
      </c>
      <c r="E11" s="57" t="s">
        <v>233</v>
      </c>
      <c r="F11" s="72" t="s">
        <v>47</v>
      </c>
    </row>
    <row r="12" spans="1:6" ht="51.95" customHeight="1" x14ac:dyDescent="0.25">
      <c r="A12" s="55">
        <v>8</v>
      </c>
      <c r="B12" s="2" t="s">
        <v>234</v>
      </c>
      <c r="C12" s="71" t="s">
        <v>229</v>
      </c>
      <c r="D12" s="4" t="s">
        <v>235</v>
      </c>
      <c r="E12" s="57" t="s">
        <v>236</v>
      </c>
      <c r="F12" s="72" t="s">
        <v>47</v>
      </c>
    </row>
    <row r="13" spans="1:6" ht="51.95" customHeight="1" x14ac:dyDescent="0.25">
      <c r="A13" s="73">
        <v>9</v>
      </c>
      <c r="B13" s="74" t="s">
        <v>237</v>
      </c>
      <c r="C13" s="75" t="s">
        <v>238</v>
      </c>
      <c r="D13" s="76" t="s">
        <v>239</v>
      </c>
      <c r="E13" s="77" t="s">
        <v>240</v>
      </c>
      <c r="F13" s="78" t="s">
        <v>241</v>
      </c>
    </row>
    <row r="14" spans="1:6" ht="51.95" customHeight="1" x14ac:dyDescent="0.25">
      <c r="A14" s="73">
        <v>10</v>
      </c>
      <c r="B14" s="74" t="s">
        <v>242</v>
      </c>
      <c r="C14" s="75" t="s">
        <v>238</v>
      </c>
      <c r="D14" s="76" t="s">
        <v>216</v>
      </c>
      <c r="E14" s="77" t="s">
        <v>243</v>
      </c>
      <c r="F14" s="79" t="s">
        <v>47</v>
      </c>
    </row>
    <row r="15" spans="1:6" ht="51.95" customHeight="1" x14ac:dyDescent="0.25">
      <c r="A15" s="55">
        <v>11</v>
      </c>
      <c r="B15" s="2" t="s">
        <v>244</v>
      </c>
      <c r="C15" s="71" t="s">
        <v>229</v>
      </c>
      <c r="D15" s="4" t="s">
        <v>245</v>
      </c>
      <c r="E15" s="57" t="s">
        <v>246</v>
      </c>
      <c r="F15" s="72" t="s">
        <v>47</v>
      </c>
    </row>
    <row r="16" spans="1:6" ht="51.95" customHeight="1" x14ac:dyDescent="0.25">
      <c r="A16" s="67">
        <v>12</v>
      </c>
      <c r="B16" s="13" t="s">
        <v>247</v>
      </c>
      <c r="C16" s="68" t="s">
        <v>215</v>
      </c>
      <c r="D16" s="14" t="s">
        <v>248</v>
      </c>
      <c r="E16" s="69" t="s">
        <v>249</v>
      </c>
      <c r="F16" s="70" t="s">
        <v>47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topLeftCell="A14" workbookViewId="0">
      <selection activeCell="E28" sqref="E28"/>
    </sheetView>
  </sheetViews>
  <sheetFormatPr defaultRowHeight="15" x14ac:dyDescent="0.25"/>
  <cols>
    <col min="1" max="1" width="30" customWidth="1"/>
    <col min="2" max="2" width="36.7109375" customWidth="1"/>
    <col min="3" max="4" width="20" customWidth="1"/>
    <col min="5" max="5" width="35" customWidth="1"/>
  </cols>
  <sheetData>
    <row r="1" spans="1:5" ht="39.950000000000003" customHeight="1" x14ac:dyDescent="0.25">
      <c r="A1" s="105" t="s">
        <v>250</v>
      </c>
      <c r="B1" s="102"/>
      <c r="C1" s="102"/>
      <c r="D1" s="102"/>
      <c r="E1" s="102"/>
    </row>
    <row r="2" spans="1:5" ht="20.100000000000001" customHeight="1" x14ac:dyDescent="0.25">
      <c r="A2" s="103" t="s">
        <v>251</v>
      </c>
      <c r="B2" s="102"/>
      <c r="C2" s="102"/>
      <c r="D2" s="102"/>
      <c r="E2" s="102"/>
    </row>
    <row r="3" spans="1:5" ht="24" customHeight="1" x14ac:dyDescent="0.25">
      <c r="A3" s="107" t="s">
        <v>252</v>
      </c>
      <c r="B3" s="102"/>
      <c r="C3" s="102"/>
      <c r="D3" s="102"/>
      <c r="E3" s="102"/>
    </row>
    <row r="4" spans="1:5" ht="27.95" customHeight="1" x14ac:dyDescent="0.25">
      <c r="A4" s="1" t="s">
        <v>253</v>
      </c>
      <c r="B4" s="1" t="s">
        <v>254</v>
      </c>
      <c r="C4" s="1" t="s">
        <v>255</v>
      </c>
      <c r="D4" s="1" t="s">
        <v>256</v>
      </c>
      <c r="E4" s="1" t="s">
        <v>257</v>
      </c>
    </row>
    <row r="5" spans="1:5" ht="24" x14ac:dyDescent="0.25">
      <c r="A5" s="39" t="s">
        <v>258</v>
      </c>
      <c r="B5" s="80" t="s">
        <v>259</v>
      </c>
      <c r="C5" s="81" t="s">
        <v>260</v>
      </c>
      <c r="D5" s="5" t="s">
        <v>261</v>
      </c>
      <c r="E5" s="57" t="s">
        <v>262</v>
      </c>
    </row>
    <row r="6" spans="1:5" ht="24" x14ac:dyDescent="0.25">
      <c r="A6" s="36" t="s">
        <v>263</v>
      </c>
      <c r="B6" s="82" t="s">
        <v>264</v>
      </c>
      <c r="C6" s="83" t="s">
        <v>265</v>
      </c>
      <c r="D6" s="10" t="s">
        <v>261</v>
      </c>
      <c r="E6" s="60" t="s">
        <v>266</v>
      </c>
    </row>
    <row r="7" spans="1:5" ht="24" x14ac:dyDescent="0.25">
      <c r="A7" s="39" t="s">
        <v>267</v>
      </c>
      <c r="B7" s="80" t="s">
        <v>264</v>
      </c>
      <c r="C7" s="81" t="s">
        <v>264</v>
      </c>
      <c r="D7" s="84" t="s">
        <v>268</v>
      </c>
      <c r="E7" s="57" t="s">
        <v>269</v>
      </c>
    </row>
    <row r="8" spans="1:5" ht="24" x14ac:dyDescent="0.25">
      <c r="A8" s="36" t="s">
        <v>270</v>
      </c>
      <c r="B8" s="82" t="s">
        <v>265</v>
      </c>
      <c r="C8" s="83" t="s">
        <v>259</v>
      </c>
      <c r="D8" s="10" t="s">
        <v>261</v>
      </c>
      <c r="E8" s="60" t="s">
        <v>271</v>
      </c>
    </row>
    <row r="9" spans="1:5" ht="24" x14ac:dyDescent="0.25">
      <c r="A9" s="39" t="s">
        <v>272</v>
      </c>
      <c r="B9" s="80" t="s">
        <v>264</v>
      </c>
      <c r="C9" s="81" t="s">
        <v>265</v>
      </c>
      <c r="D9" s="5" t="s">
        <v>261</v>
      </c>
      <c r="E9" s="57" t="s">
        <v>273</v>
      </c>
    </row>
    <row r="10" spans="1:5" ht="27.95" customHeight="1" x14ac:dyDescent="0.25">
      <c r="A10" s="110" t="s">
        <v>274</v>
      </c>
      <c r="B10" s="102"/>
      <c r="C10" s="85" t="s">
        <v>275</v>
      </c>
      <c r="D10" s="85" t="s">
        <v>276</v>
      </c>
      <c r="E10" s="86" t="s">
        <v>277</v>
      </c>
    </row>
    <row r="12" spans="1:5" ht="24" customHeight="1" x14ac:dyDescent="0.25">
      <c r="A12" s="101" t="s">
        <v>278</v>
      </c>
      <c r="B12" s="102"/>
      <c r="C12" s="102"/>
      <c r="D12" s="102"/>
      <c r="E12" s="102"/>
    </row>
    <row r="13" spans="1:5" ht="27.95" customHeight="1" x14ac:dyDescent="0.25">
      <c r="A13" s="1" t="s">
        <v>279</v>
      </c>
      <c r="B13" s="1" t="s">
        <v>280</v>
      </c>
      <c r="C13" s="1" t="s">
        <v>281</v>
      </c>
      <c r="D13" s="1" t="s">
        <v>282</v>
      </c>
      <c r="E13" s="1" t="s">
        <v>59</v>
      </c>
    </row>
    <row r="14" spans="1:5" ht="45" x14ac:dyDescent="0.25">
      <c r="A14" s="39" t="s">
        <v>283</v>
      </c>
      <c r="B14" s="2" t="s">
        <v>284</v>
      </c>
      <c r="C14" s="5" t="s">
        <v>285</v>
      </c>
      <c r="D14" s="56" t="s">
        <v>286</v>
      </c>
      <c r="E14" s="57" t="s">
        <v>287</v>
      </c>
    </row>
    <row r="15" spans="1:5" ht="45" x14ac:dyDescent="0.25">
      <c r="A15" s="36" t="s">
        <v>288</v>
      </c>
      <c r="B15" s="7" t="s">
        <v>289</v>
      </c>
      <c r="C15" s="10" t="s">
        <v>285</v>
      </c>
      <c r="D15" s="59" t="s">
        <v>290</v>
      </c>
      <c r="E15" s="60" t="s">
        <v>291</v>
      </c>
    </row>
    <row r="16" spans="1:5" ht="45" x14ac:dyDescent="0.25">
      <c r="A16" s="39" t="s">
        <v>292</v>
      </c>
      <c r="B16" s="2" t="s">
        <v>293</v>
      </c>
      <c r="C16" s="5" t="s">
        <v>294</v>
      </c>
      <c r="D16" s="56" t="s">
        <v>295</v>
      </c>
      <c r="E16" s="57" t="s">
        <v>296</v>
      </c>
    </row>
    <row r="17" spans="1:5" ht="30" x14ac:dyDescent="0.25">
      <c r="A17" s="36" t="s">
        <v>297</v>
      </c>
      <c r="B17" s="7" t="s">
        <v>298</v>
      </c>
      <c r="C17" s="10" t="s">
        <v>294</v>
      </c>
      <c r="D17" s="59" t="s">
        <v>299</v>
      </c>
      <c r="E17" s="60" t="s">
        <v>300</v>
      </c>
    </row>
    <row r="18" spans="1:5" ht="30" x14ac:dyDescent="0.25">
      <c r="A18" s="39" t="s">
        <v>301</v>
      </c>
      <c r="B18" s="2" t="s">
        <v>302</v>
      </c>
      <c r="C18" s="5" t="s">
        <v>294</v>
      </c>
      <c r="D18" s="56" t="s">
        <v>303</v>
      </c>
      <c r="E18" s="57" t="s">
        <v>304</v>
      </c>
    </row>
    <row r="19" spans="1:5" ht="30" x14ac:dyDescent="0.25">
      <c r="A19" s="36" t="s">
        <v>305</v>
      </c>
      <c r="B19" s="7" t="s">
        <v>306</v>
      </c>
      <c r="C19" s="10" t="s">
        <v>260</v>
      </c>
      <c r="D19" s="59" t="s">
        <v>307</v>
      </c>
      <c r="E19" s="60" t="s">
        <v>308</v>
      </c>
    </row>
    <row r="21" spans="1:5" ht="24" customHeight="1" x14ac:dyDescent="0.25">
      <c r="A21" s="109" t="s">
        <v>309</v>
      </c>
      <c r="B21" s="102"/>
      <c r="C21" s="102"/>
      <c r="D21" s="102"/>
      <c r="E21" s="102"/>
    </row>
    <row r="22" spans="1:5" ht="27.95" customHeight="1" x14ac:dyDescent="0.25">
      <c r="A22" s="1" t="s">
        <v>279</v>
      </c>
      <c r="B22" s="1" t="s">
        <v>310</v>
      </c>
      <c r="C22" s="1" t="s">
        <v>235</v>
      </c>
      <c r="D22" s="1" t="s">
        <v>282</v>
      </c>
      <c r="E22" s="1" t="s">
        <v>311</v>
      </c>
    </row>
    <row r="23" spans="1:5" ht="39.950000000000003" customHeight="1" x14ac:dyDescent="0.25">
      <c r="A23" s="13" t="s">
        <v>312</v>
      </c>
      <c r="B23" s="13" t="s">
        <v>313</v>
      </c>
      <c r="C23" s="70" t="s">
        <v>314</v>
      </c>
      <c r="D23" s="87" t="s">
        <v>315</v>
      </c>
      <c r="E23" s="69" t="s">
        <v>316</v>
      </c>
    </row>
    <row r="24" spans="1:5" ht="49.5" customHeight="1" x14ac:dyDescent="0.25">
      <c r="A24" s="13" t="s">
        <v>317</v>
      </c>
      <c r="B24" s="13" t="s">
        <v>318</v>
      </c>
      <c r="C24" s="70" t="s">
        <v>314</v>
      </c>
      <c r="D24" s="87" t="s">
        <v>319</v>
      </c>
      <c r="E24" s="69" t="s">
        <v>320</v>
      </c>
    </row>
    <row r="25" spans="1:5" ht="39.950000000000003" customHeight="1" x14ac:dyDescent="0.25">
      <c r="A25" s="13" t="s">
        <v>321</v>
      </c>
      <c r="B25" s="13" t="s">
        <v>322</v>
      </c>
      <c r="C25" s="70" t="s">
        <v>314</v>
      </c>
      <c r="D25" s="87" t="s">
        <v>323</v>
      </c>
      <c r="E25" s="69" t="s">
        <v>324</v>
      </c>
    </row>
    <row r="26" spans="1:5" ht="39.950000000000003" customHeight="1" x14ac:dyDescent="0.25">
      <c r="A26" s="13" t="s">
        <v>325</v>
      </c>
      <c r="B26" s="13" t="s">
        <v>326</v>
      </c>
      <c r="C26" s="70" t="s">
        <v>314</v>
      </c>
      <c r="D26" s="87" t="s">
        <v>327</v>
      </c>
      <c r="E26" s="69" t="s">
        <v>328</v>
      </c>
    </row>
    <row r="27" spans="1:5" ht="39.950000000000003" customHeight="1" x14ac:dyDescent="0.25">
      <c r="A27" s="17" t="s">
        <v>329</v>
      </c>
      <c r="B27" s="33" t="s">
        <v>330</v>
      </c>
      <c r="C27" s="85" t="s">
        <v>331</v>
      </c>
      <c r="D27" s="88" t="s">
        <v>315</v>
      </c>
      <c r="E27" s="89" t="s">
        <v>332</v>
      </c>
    </row>
    <row r="28" spans="1:5" ht="39.950000000000003" customHeight="1" x14ac:dyDescent="0.25">
      <c r="A28" s="17" t="s">
        <v>333</v>
      </c>
      <c r="B28" s="33" t="s">
        <v>334</v>
      </c>
      <c r="C28" s="85" t="s">
        <v>331</v>
      </c>
      <c r="D28" s="88" t="s">
        <v>335</v>
      </c>
      <c r="E28" s="89" t="s">
        <v>336</v>
      </c>
    </row>
  </sheetData>
  <mergeCells count="6">
    <mergeCell ref="A21:E21"/>
    <mergeCell ref="A12:E12"/>
    <mergeCell ref="A2:E2"/>
    <mergeCell ref="A10:B10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topLeftCell="A7" workbookViewId="0">
      <selection activeCell="E7" sqref="E7"/>
    </sheetView>
  </sheetViews>
  <sheetFormatPr defaultRowHeight="15" x14ac:dyDescent="0.25"/>
  <cols>
    <col min="1" max="1" width="5" customWidth="1"/>
    <col min="2" max="2" width="32" customWidth="1"/>
    <col min="3" max="4" width="15" customWidth="1"/>
    <col min="5" max="5" width="42" customWidth="1"/>
    <col min="6" max="6" width="28" customWidth="1"/>
  </cols>
  <sheetData>
    <row r="1" spans="1:6" ht="39.950000000000003" customHeight="1" x14ac:dyDescent="0.25">
      <c r="A1" s="105" t="s">
        <v>337</v>
      </c>
      <c r="B1" s="102"/>
      <c r="C1" s="102"/>
      <c r="D1" s="102"/>
      <c r="E1" s="102"/>
      <c r="F1" s="102"/>
    </row>
    <row r="2" spans="1:6" ht="20.100000000000001" customHeight="1" x14ac:dyDescent="0.25">
      <c r="A2" s="103" t="s">
        <v>338</v>
      </c>
      <c r="B2" s="102"/>
      <c r="C2" s="102"/>
      <c r="D2" s="102"/>
      <c r="E2" s="102"/>
      <c r="F2" s="102"/>
    </row>
    <row r="3" spans="1:6" ht="24" customHeight="1" x14ac:dyDescent="0.25">
      <c r="A3" s="107" t="s">
        <v>339</v>
      </c>
      <c r="B3" s="102"/>
      <c r="C3" s="102"/>
      <c r="D3" s="102"/>
      <c r="E3" s="102"/>
      <c r="F3" s="102"/>
    </row>
    <row r="4" spans="1:6" ht="27.95" customHeight="1" x14ac:dyDescent="0.25">
      <c r="A4" s="1" t="s">
        <v>145</v>
      </c>
      <c r="B4" s="1" t="s">
        <v>340</v>
      </c>
      <c r="C4" s="1" t="s">
        <v>341</v>
      </c>
      <c r="D4" s="1" t="s">
        <v>342</v>
      </c>
      <c r="E4" s="1" t="s">
        <v>343</v>
      </c>
      <c r="F4" s="1" t="s">
        <v>344</v>
      </c>
    </row>
    <row r="5" spans="1:6" ht="90" customHeight="1" x14ac:dyDescent="0.25">
      <c r="A5" s="90">
        <v>1</v>
      </c>
      <c r="B5" s="21" t="s">
        <v>345</v>
      </c>
      <c r="C5" s="91" t="s">
        <v>346</v>
      </c>
      <c r="D5" s="22" t="s">
        <v>347</v>
      </c>
      <c r="E5" s="92" t="s">
        <v>348</v>
      </c>
      <c r="F5" s="93" t="s">
        <v>349</v>
      </c>
    </row>
    <row r="6" spans="1:6" ht="90" customHeight="1" x14ac:dyDescent="0.25">
      <c r="A6" s="94">
        <v>2</v>
      </c>
      <c r="B6" s="39" t="s">
        <v>350</v>
      </c>
      <c r="C6" s="81" t="s">
        <v>351</v>
      </c>
      <c r="D6" s="4" t="s">
        <v>352</v>
      </c>
      <c r="E6" s="57" t="s">
        <v>353</v>
      </c>
      <c r="F6" s="95" t="s">
        <v>354</v>
      </c>
    </row>
    <row r="7" spans="1:6" ht="90" customHeight="1" x14ac:dyDescent="0.25">
      <c r="A7" s="96">
        <v>3</v>
      </c>
      <c r="B7" s="17" t="s">
        <v>355</v>
      </c>
      <c r="C7" s="97" t="s">
        <v>356</v>
      </c>
      <c r="D7" s="18" t="s">
        <v>357</v>
      </c>
      <c r="E7" s="89" t="s">
        <v>358</v>
      </c>
      <c r="F7" s="98" t="s">
        <v>359</v>
      </c>
    </row>
    <row r="9" spans="1:6" ht="24" customHeight="1" x14ac:dyDescent="0.25">
      <c r="A9" s="111" t="s">
        <v>360</v>
      </c>
      <c r="B9" s="102"/>
      <c r="C9" s="102"/>
      <c r="D9" s="102"/>
      <c r="E9" s="102"/>
      <c r="F9" s="102"/>
    </row>
    <row r="10" spans="1:6" ht="27.95" customHeight="1" x14ac:dyDescent="0.25">
      <c r="A10" s="1" t="s">
        <v>145</v>
      </c>
      <c r="B10" s="1" t="s">
        <v>361</v>
      </c>
      <c r="C10" s="1" t="s">
        <v>362</v>
      </c>
      <c r="D10" s="1" t="s">
        <v>363</v>
      </c>
      <c r="E10" s="1" t="s">
        <v>364</v>
      </c>
      <c r="F10" s="1" t="s">
        <v>6</v>
      </c>
    </row>
    <row r="11" spans="1:6" ht="50.1" customHeight="1" x14ac:dyDescent="0.25">
      <c r="A11" s="55">
        <v>1</v>
      </c>
      <c r="B11" s="2" t="s">
        <v>365</v>
      </c>
      <c r="C11" s="81" t="s">
        <v>366</v>
      </c>
      <c r="D11" s="5" t="s">
        <v>367</v>
      </c>
      <c r="E11" s="57" t="s">
        <v>368</v>
      </c>
      <c r="F11" s="99" t="s">
        <v>369</v>
      </c>
    </row>
    <row r="12" spans="1:6" ht="50.1" customHeight="1" x14ac:dyDescent="0.25">
      <c r="A12" s="53">
        <v>2</v>
      </c>
      <c r="B12" s="7" t="s">
        <v>370</v>
      </c>
      <c r="C12" s="83" t="s">
        <v>371</v>
      </c>
      <c r="D12" s="10" t="s">
        <v>372</v>
      </c>
      <c r="E12" s="60" t="s">
        <v>373</v>
      </c>
      <c r="F12" s="100" t="s">
        <v>369</v>
      </c>
    </row>
    <row r="13" spans="1:6" ht="50.1" customHeight="1" x14ac:dyDescent="0.25">
      <c r="A13" s="55">
        <v>3</v>
      </c>
      <c r="B13" s="2" t="s">
        <v>374</v>
      </c>
      <c r="C13" s="81" t="s">
        <v>375</v>
      </c>
      <c r="D13" s="5" t="s">
        <v>376</v>
      </c>
      <c r="E13" s="57" t="s">
        <v>377</v>
      </c>
      <c r="F13" s="99" t="s">
        <v>369</v>
      </c>
    </row>
    <row r="14" spans="1:6" ht="50.1" customHeight="1" x14ac:dyDescent="0.25">
      <c r="A14" s="53">
        <v>4</v>
      </c>
      <c r="B14" s="7" t="s">
        <v>378</v>
      </c>
      <c r="C14" s="83" t="s">
        <v>379</v>
      </c>
      <c r="D14" s="10" t="s">
        <v>380</v>
      </c>
      <c r="E14" s="60" t="s">
        <v>381</v>
      </c>
      <c r="F14" s="100" t="s">
        <v>369</v>
      </c>
    </row>
    <row r="15" spans="1:6" ht="50.1" customHeight="1" x14ac:dyDescent="0.25">
      <c r="A15" s="55">
        <v>5</v>
      </c>
      <c r="B15" s="2" t="s">
        <v>382</v>
      </c>
      <c r="C15" s="81" t="s">
        <v>383</v>
      </c>
      <c r="D15" s="5" t="s">
        <v>380</v>
      </c>
      <c r="E15" s="57" t="s">
        <v>384</v>
      </c>
      <c r="F15" s="99" t="s">
        <v>385</v>
      </c>
    </row>
    <row r="16" spans="1:6" ht="50.1" customHeight="1" x14ac:dyDescent="0.25">
      <c r="A16" s="53">
        <v>6</v>
      </c>
      <c r="B16" s="7" t="s">
        <v>386</v>
      </c>
      <c r="C16" s="83" t="s">
        <v>387</v>
      </c>
      <c r="D16" s="10" t="s">
        <v>388</v>
      </c>
      <c r="E16" s="60" t="s">
        <v>389</v>
      </c>
      <c r="F16" s="100" t="s">
        <v>369</v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📊 Unit Economics</vt:lpstr>
      <vt:lpstr>🧮 Kalkulator UE</vt:lpstr>
      <vt:lpstr>📈 Skalowanie floty</vt:lpstr>
      <vt:lpstr>⚖️ Status Dokumentów</vt:lpstr>
      <vt:lpstr>❓ Luki i Pytania</vt:lpstr>
      <vt:lpstr>🎯 Raport v2.0</vt:lpstr>
      <vt:lpstr>🚀 Quick Wins &amp;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Andrzej Salski</cp:lastModifiedBy>
  <dcterms:created xsi:type="dcterms:W3CDTF">2026-05-13T16:17:26Z</dcterms:created>
  <dcterms:modified xsi:type="dcterms:W3CDTF">2026-05-13T16:34:19Z</dcterms:modified>
</cp:coreProperties>
</file>