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  <Override PartName="/xl/drawings/vmlDrawing1.vml" ContentType="application/vnd.openxmlformats-officedocument.vmlDrawing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e wejściowe" sheetId="1" state="visible" r:id="rId1"/>
    <sheet name="Subskrypcyjny" sheetId="2" state="visible" r:id="rId2"/>
    <sheet name="Abonamentowy" sheetId="3" state="visible" r:id="rId3"/>
    <sheet name="Porównanie modeli" sheetId="4" state="visible" r:id="rId4"/>
    <sheet name="Scenariusze" sheetId="5" state="visible" r:id="rId5"/>
    <sheet name="Wrażliwość — km na mies.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 &quot;zł&quot;"/>
    <numFmt numFmtId="165" formatCode="0.000"/>
    <numFmt numFmtId="166" formatCode="0.0&quot;%&quot;"/>
    <numFmt numFmtId="167" formatCode="0.0"/>
    <numFmt numFmtId="168" formatCode="0.0%"/>
  </numFmts>
  <fonts count="2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7D6608"/>
      <sz val="10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color rgb="00000000"/>
      <sz val="10"/>
    </font>
    <font>
      <name val="Calibri"/>
      <b val="1"/>
      <color rgb="00000000"/>
      <sz val="11"/>
    </font>
    <font>
      <name val="Calibri"/>
      <i val="1"/>
      <color rgb="00666666"/>
      <sz val="9"/>
    </font>
    <font>
      <name val="Calibri"/>
      <b val="1"/>
      <color rgb="000969DA"/>
      <sz val="9"/>
    </font>
    <font>
      <name val="Calibri"/>
      <b val="1"/>
      <color rgb="00FFFFFF"/>
      <sz val="13"/>
    </font>
    <font>
      <name val="Calibri"/>
      <i val="1"/>
      <sz val="9"/>
    </font>
    <font>
      <name val="Calibri"/>
      <b val="1"/>
      <color rgb="00000000"/>
      <sz val="10"/>
    </font>
    <font>
      <name val="Calibri"/>
      <b val="1"/>
      <color rgb="00155724"/>
      <sz val="10"/>
    </font>
    <font>
      <name val="Calibri"/>
      <color rgb="00155724"/>
      <sz val="10"/>
    </font>
    <font>
      <name val="Calibri"/>
      <b val="1"/>
      <color rgb="00721C24"/>
      <sz val="10"/>
    </font>
    <font>
      <name val="Calibri"/>
      <color rgb="00721C24"/>
      <sz val="10"/>
    </font>
    <font>
      <name val="Calibri"/>
      <i val="1"/>
      <color rgb="008B949E"/>
      <sz val="9"/>
    </font>
    <font>
      <name val="Calibri"/>
      <b val="1"/>
      <color rgb="0000D4AA"/>
      <sz val="12"/>
    </font>
    <font>
      <name val="Calibri"/>
      <b val="1"/>
      <color rgb="0000D4AA"/>
      <sz val="10"/>
    </font>
    <font>
      <name val="Calibri"/>
      <i val="1"/>
      <color rgb="007D6608"/>
      <sz val="9"/>
    </font>
    <font>
      <name val="Calibri"/>
      <b val="1"/>
      <color rgb="007D6608"/>
      <sz val="10"/>
    </font>
    <font>
      <name val="Calibri"/>
      <color rgb="007D6608"/>
      <sz val="10"/>
    </font>
    <font>
      <name val="Calibri"/>
      <b val="1"/>
      <color rgb="0058A6FF"/>
      <sz val="12"/>
    </font>
    <font>
      <name val="Calibri"/>
      <b val="1"/>
      <color rgb="0058A6FF"/>
      <sz val="10"/>
    </font>
    <font>
      <name val="Calibri"/>
      <b val="1"/>
      <color rgb="0000D4AA"/>
      <sz val="11"/>
    </font>
    <font>
      <name val="Calibri"/>
      <i val="1"/>
      <color rgb="00155724"/>
      <sz val="9"/>
    </font>
    <font>
      <name val="Calibri"/>
      <b val="1"/>
      <color rgb="00155724"/>
      <sz val="9"/>
    </font>
    <font>
      <name val="Calibri"/>
      <b val="1"/>
      <color rgb="00FFFFFF"/>
      <sz val="12"/>
    </font>
  </fonts>
  <fills count="18">
    <fill>
      <patternFill/>
    </fill>
    <fill>
      <patternFill patternType="gray125"/>
    </fill>
    <fill>
      <patternFill patternType="solid">
        <fgColor rgb="000F3460"/>
      </patternFill>
    </fill>
    <fill>
      <patternFill patternType="solid">
        <fgColor rgb="00FFF3CD"/>
      </patternFill>
    </fill>
    <fill>
      <patternFill patternType="solid">
        <fgColor rgb="00E94560"/>
      </patternFill>
    </fill>
    <fill>
      <patternFill patternType="solid">
        <fgColor rgb="001A2744"/>
      </patternFill>
    </fill>
    <fill>
      <patternFill patternType="solid">
        <fgColor rgb="00EEF2FF"/>
      </patternFill>
    </fill>
    <fill>
      <patternFill patternType="solid">
        <fgColor rgb="00FFFFFF"/>
      </patternFill>
    </fill>
    <fill>
      <patternFill patternType="solid">
        <fgColor rgb="00F0F4FF"/>
      </patternFill>
    </fill>
    <fill>
      <patternFill patternType="solid">
        <fgColor rgb="00E8FDF5"/>
      </patternFill>
    </fill>
    <fill>
      <patternFill patternType="solid">
        <fgColor rgb="001A7A5E"/>
      </patternFill>
    </fill>
    <fill>
      <patternFill patternType="solid">
        <fgColor rgb="00F8F8F8"/>
      </patternFill>
    </fill>
    <fill>
      <patternFill patternType="solid">
        <fgColor rgb="00F8D7DA"/>
      </patternFill>
    </fill>
    <fill>
      <patternFill patternType="solid">
        <fgColor rgb="00D4EDDA"/>
      </patternFill>
    </fill>
    <fill>
      <patternFill patternType="solid">
        <fgColor rgb="0016213E"/>
      </patternFill>
    </fill>
    <fill>
      <patternFill patternType="solid">
        <fgColor rgb="00E8F4FD"/>
      </patternFill>
    </fill>
    <fill>
      <patternFill patternType="solid">
        <fgColor rgb="001A4A7A"/>
      </patternFill>
    </fill>
    <fill>
      <patternFill patternType="solid">
        <fgColor rgb="00F4F6FF"/>
      </patternFill>
    </fill>
  </fills>
  <borders count="5">
    <border>
      <left/>
      <right/>
      <top/>
      <bottom/>
      <diagonal/>
    </border>
    <border>
      <left style="thin">
        <color rgb="00E94560"/>
      </left>
      <right style="thin">
        <color rgb="00E94560"/>
      </right>
      <top style="thin">
        <color rgb="00E94560"/>
      </top>
      <bottom style="thin">
        <color rgb="00E94560"/>
      </bottom>
    </border>
    <border>
      <left style="thin">
        <color rgb="00CED4DA"/>
      </left>
      <right style="thin">
        <color rgb="00CED4DA"/>
      </right>
      <top style="thin">
        <color rgb="00CED4DA"/>
      </top>
      <bottom style="thin">
        <color rgb="00CED4DA"/>
      </bottom>
    </border>
    <border>
      <left style="thin">
        <color rgb="001A7A5E"/>
      </left>
      <right style="thin">
        <color rgb="001A7A5E"/>
      </right>
      <top style="thin">
        <color rgb="001A7A5E"/>
      </top>
      <bottom style="thin">
        <color rgb="001A7A5E"/>
      </bottom>
    </border>
    <border>
      <left style="thin">
        <color rgb="001A4A7A"/>
      </left>
      <right style="thin">
        <color rgb="001A4A7A"/>
      </right>
      <top style="thin">
        <color rgb="001A4A7A"/>
      </top>
      <bottom style="thin">
        <color rgb="001A4A7A"/>
      </bottom>
    </border>
  </borders>
  <cellStyleXfs count="1">
    <xf numFmtId="0" fontId="0" fillId="0" borderId="0"/>
  </cellStyleXfs>
  <cellXfs count="8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5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left" vertical="center"/>
    </xf>
    <xf numFmtId="3" fontId="6" fillId="3" borderId="1" applyAlignment="1" pivotButton="0" quotePrefix="0" xfId="0">
      <alignment horizontal="right" vertical="center"/>
    </xf>
    <xf numFmtId="0" fontId="7" fillId="7" borderId="2" applyAlignment="1" pivotButton="0" quotePrefix="0" xfId="0">
      <alignment horizontal="left" vertical="center"/>
    </xf>
    <xf numFmtId="0" fontId="8" fillId="8" borderId="2" applyAlignment="1" pivotButton="0" quotePrefix="0" xfId="0">
      <alignment horizontal="center" vertical="center"/>
    </xf>
    <xf numFmtId="0" fontId="5" fillId="7" borderId="2" applyAlignment="1" pivotButton="0" quotePrefix="0" xfId="0">
      <alignment horizontal="left" vertical="center"/>
    </xf>
    <xf numFmtId="164" fontId="6" fillId="3" borderId="1" applyAlignment="1" pivotButton="0" quotePrefix="0" xfId="0">
      <alignment horizontal="right" vertical="center"/>
    </xf>
    <xf numFmtId="3" fontId="0" fillId="0" borderId="2" pivotButton="0" quotePrefix="0" xfId="0"/>
    <xf numFmtId="2" fontId="6" fillId="3" borderId="1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9" borderId="0" applyAlignment="1" pivotButton="0" quotePrefix="0" xfId="0">
      <alignment horizontal="left" vertical="center"/>
    </xf>
    <xf numFmtId="0" fontId="3" fillId="10" borderId="3" applyAlignment="1" pivotButton="0" quotePrefix="0" xfId="0">
      <alignment horizontal="left" vertical="center"/>
    </xf>
    <xf numFmtId="0" fontId="7" fillId="11" borderId="2" applyAlignment="1" pivotButton="0" quotePrefix="0" xfId="0">
      <alignment horizontal="left" vertical="center"/>
    </xf>
    <xf numFmtId="2" fontId="11" fillId="7" borderId="2" applyAlignment="1" pivotButton="0" quotePrefix="0" xfId="0">
      <alignment horizontal="right" vertical="center"/>
    </xf>
    <xf numFmtId="165" fontId="11" fillId="7" borderId="2" applyAlignment="1" pivotButton="0" quotePrefix="0" xfId="0">
      <alignment horizontal="right" vertical="center"/>
    </xf>
    <xf numFmtId="3" fontId="11" fillId="7" borderId="2" applyAlignment="1" pivotButton="0" quotePrefix="0" xfId="0">
      <alignment horizontal="right" vertical="center"/>
    </xf>
    <xf numFmtId="164" fontId="11" fillId="12" borderId="2" applyAlignment="1" pivotButton="0" quotePrefix="0" xfId="0">
      <alignment horizontal="right" vertical="center"/>
    </xf>
    <xf numFmtId="164" fontId="11" fillId="13" borderId="2" applyAlignment="1" pivotButton="0" quotePrefix="0" xfId="0">
      <alignment horizontal="right" vertical="center"/>
    </xf>
    <xf numFmtId="164" fontId="11" fillId="9" borderId="2" applyAlignment="1" pivotButton="0" quotePrefix="0" xfId="0">
      <alignment horizontal="right" vertical="center"/>
    </xf>
    <xf numFmtId="166" fontId="11" fillId="9" borderId="2" applyAlignment="1" pivotButton="0" quotePrefix="0" xfId="0">
      <alignment horizontal="right" vertical="center"/>
    </xf>
    <xf numFmtId="0" fontId="5" fillId="13" borderId="2" applyAlignment="1" pivotButton="0" quotePrefix="0" xfId="0">
      <alignment horizontal="left" vertical="center"/>
    </xf>
    <xf numFmtId="164" fontId="12" fillId="13" borderId="2" applyAlignment="1" pivotButton="0" quotePrefix="0" xfId="0">
      <alignment horizontal="right" vertical="center"/>
    </xf>
    <xf numFmtId="166" fontId="13" fillId="13" borderId="2" applyAlignment="1" pivotButton="0" quotePrefix="0" xfId="0">
      <alignment horizontal="right" vertical="center"/>
    </xf>
    <xf numFmtId="0" fontId="5" fillId="12" borderId="2" applyAlignment="1" pivotButton="0" quotePrefix="0" xfId="0">
      <alignment horizontal="left" vertical="center"/>
    </xf>
    <xf numFmtId="164" fontId="14" fillId="12" borderId="2" applyAlignment="1" pivotButton="0" quotePrefix="0" xfId="0">
      <alignment horizontal="right" vertical="center"/>
    </xf>
    <xf numFmtId="166" fontId="15" fillId="12" borderId="2" applyAlignment="1" pivotButton="0" quotePrefix="0" xfId="0">
      <alignment horizontal="right" vertical="center"/>
    </xf>
    <xf numFmtId="0" fontId="3" fillId="14" borderId="2" applyAlignment="1" pivotButton="0" quotePrefix="0" xfId="0">
      <alignment horizontal="left" vertical="center"/>
    </xf>
    <xf numFmtId="0" fontId="16" fillId="14" borderId="2" applyAlignment="1" pivotButton="0" quotePrefix="0" xfId="0">
      <alignment horizontal="left" vertical="center"/>
    </xf>
    <xf numFmtId="164" fontId="17" fillId="14" borderId="2" applyAlignment="1" pivotButton="0" quotePrefix="0" xfId="0">
      <alignment horizontal="right" vertical="center"/>
    </xf>
    <xf numFmtId="166" fontId="18" fillId="14" borderId="2" applyAlignment="1" pivotButton="0" quotePrefix="0" xfId="0">
      <alignment horizontal="right" vertical="center"/>
    </xf>
    <xf numFmtId="0" fontId="7" fillId="11" borderId="2" applyAlignment="1" pivotButton="0" quotePrefix="0" xfId="0">
      <alignment horizontal="left" vertical="center" wrapText="1"/>
    </xf>
    <xf numFmtId="167" fontId="11" fillId="9" borderId="2" applyAlignment="1" pivotButton="0" quotePrefix="0" xfId="0">
      <alignment horizontal="right" vertical="center"/>
    </xf>
    <xf numFmtId="168" fontId="11" fillId="9" borderId="2" applyAlignment="1" pivotButton="0" quotePrefix="0" xfId="0">
      <alignment horizontal="right" vertical="center"/>
    </xf>
    <xf numFmtId="164" fontId="11" fillId="7" borderId="2" applyAlignment="1" pivotButton="0" quotePrefix="0" xfId="0">
      <alignment horizontal="right" vertical="center"/>
    </xf>
    <xf numFmtId="164" fontId="5" fillId="7" borderId="2" applyAlignment="1" pivotButton="0" quotePrefix="0" xfId="0">
      <alignment horizontal="right" vertical="center"/>
    </xf>
    <xf numFmtId="0" fontId="5" fillId="3" borderId="2" applyAlignment="1" pivotButton="0" quotePrefix="0" xfId="0">
      <alignment horizontal="left" vertical="center"/>
    </xf>
    <xf numFmtId="0" fontId="19" fillId="3" borderId="2" applyAlignment="1" pivotButton="0" quotePrefix="0" xfId="0">
      <alignment horizontal="left" vertical="center"/>
    </xf>
    <xf numFmtId="164" fontId="20" fillId="3" borderId="2" applyAlignment="1" pivotButton="0" quotePrefix="0" xfId="0">
      <alignment horizontal="right" vertical="center"/>
    </xf>
    <xf numFmtId="164" fontId="21" fillId="3" borderId="2" applyAlignment="1" pivotButton="0" quotePrefix="0" xfId="0">
      <alignment horizontal="right" vertical="center"/>
    </xf>
    <xf numFmtId="0" fontId="5" fillId="14" borderId="2" applyAlignment="1" pivotButton="0" quotePrefix="0" xfId="0">
      <alignment horizontal="left" vertical="center"/>
    </xf>
    <xf numFmtId="164" fontId="22" fillId="14" borderId="2" applyAlignment="1" pivotButton="0" quotePrefix="0" xfId="0">
      <alignment horizontal="right" vertical="center"/>
    </xf>
    <xf numFmtId="164" fontId="23" fillId="14" borderId="2" applyAlignment="1" pivotButton="0" quotePrefix="0" xfId="0">
      <alignment horizontal="right" vertical="center"/>
    </xf>
    <xf numFmtId="164" fontId="13" fillId="13" borderId="2" applyAlignment="1" pivotButton="0" quotePrefix="0" xfId="0">
      <alignment horizontal="right" vertical="center"/>
    </xf>
    <xf numFmtId="164" fontId="15" fillId="12" borderId="2" applyAlignment="1" pivotButton="0" quotePrefix="0" xfId="0">
      <alignment horizontal="right" vertical="center"/>
    </xf>
    <xf numFmtId="0" fontId="5" fillId="9" borderId="2" applyAlignment="1" pivotButton="0" quotePrefix="0" xfId="0">
      <alignment horizontal="left" vertical="center"/>
    </xf>
    <xf numFmtId="164" fontId="24" fillId="14" borderId="2" applyAlignment="1" pivotButton="0" quotePrefix="0" xfId="0">
      <alignment horizontal="right" vertical="center"/>
    </xf>
    <xf numFmtId="0" fontId="10" fillId="15" borderId="0" applyAlignment="1" pivotButton="0" quotePrefix="0" xfId="0">
      <alignment horizontal="left" vertical="center"/>
    </xf>
    <xf numFmtId="0" fontId="3" fillId="16" borderId="4" applyAlignment="1" pivotButton="0" quotePrefix="0" xfId="0">
      <alignment horizontal="left" vertical="center"/>
    </xf>
    <xf numFmtId="164" fontId="11" fillId="15" borderId="2" applyAlignment="1" pivotButton="0" quotePrefix="0" xfId="0">
      <alignment horizontal="right" vertical="center"/>
    </xf>
    <xf numFmtId="166" fontId="11" fillId="15" borderId="2" applyAlignment="1" pivotButton="0" quotePrefix="0" xfId="0">
      <alignment horizontal="right" vertical="center"/>
    </xf>
    <xf numFmtId="167" fontId="11" fillId="15" borderId="2" applyAlignment="1" pivotButton="0" quotePrefix="0" xfId="0">
      <alignment horizontal="right" vertical="center"/>
    </xf>
    <xf numFmtId="168" fontId="11" fillId="15" borderId="2" applyAlignment="1" pivotButton="0" quotePrefix="0" xfId="0">
      <alignment horizontal="right" vertical="center"/>
    </xf>
    <xf numFmtId="0" fontId="25" fillId="13" borderId="2" applyAlignment="1" pivotButton="0" quotePrefix="0" xfId="0">
      <alignment horizontal="left" vertical="center"/>
    </xf>
    <xf numFmtId="0" fontId="26" fillId="13" borderId="2" applyAlignment="1" pivotButton="0" quotePrefix="0" xfId="0">
      <alignment horizontal="right" vertical="center"/>
    </xf>
    <xf numFmtId="0" fontId="5" fillId="15" borderId="2" applyAlignment="1" pivotButton="0" quotePrefix="0" xfId="0">
      <alignment horizontal="left" vertical="center"/>
    </xf>
    <xf numFmtId="0" fontId="3" fillId="2" borderId="2" applyAlignment="1" pivotButton="0" quotePrefix="0" xfId="0">
      <alignment horizontal="center" vertical="center"/>
    </xf>
    <xf numFmtId="0" fontId="11" fillId="9" borderId="2" applyAlignment="1" pivotButton="0" quotePrefix="0" xfId="0">
      <alignment horizontal="right" vertical="center"/>
    </xf>
    <xf numFmtId="0" fontId="11" fillId="15" borderId="2" applyAlignment="1" pivotButton="0" quotePrefix="0" xfId="0">
      <alignment horizontal="right" vertical="center"/>
    </xf>
    <xf numFmtId="0" fontId="27" fillId="2" borderId="0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/>
    </xf>
    <xf numFmtId="3" fontId="11" fillId="7" borderId="2" applyAlignment="1" pivotButton="0" quotePrefix="0" xfId="0">
      <alignment horizontal="center" vertical="center"/>
    </xf>
    <xf numFmtId="164" fontId="5" fillId="9" borderId="2" applyAlignment="1" pivotButton="0" quotePrefix="0" xfId="0">
      <alignment horizontal="right" vertical="center"/>
    </xf>
    <xf numFmtId="166" fontId="5" fillId="9" borderId="2" applyAlignment="1" pivotButton="0" quotePrefix="0" xfId="0">
      <alignment horizontal="right" vertical="center"/>
    </xf>
    <xf numFmtId="167" fontId="5" fillId="9" borderId="2" applyAlignment="1" pivotButton="0" quotePrefix="0" xfId="0">
      <alignment horizontal="right" vertical="center"/>
    </xf>
    <xf numFmtId="0" fontId="5" fillId="7" borderId="2" applyAlignment="1" pivotButton="0" quotePrefix="0" xfId="0">
      <alignment horizontal="right" vertical="center"/>
    </xf>
    <xf numFmtId="164" fontId="5" fillId="15" borderId="2" applyAlignment="1" pivotButton="0" quotePrefix="0" xfId="0">
      <alignment horizontal="right" vertical="center"/>
    </xf>
    <xf numFmtId="166" fontId="5" fillId="15" borderId="2" applyAlignment="1" pivotButton="0" quotePrefix="0" xfId="0">
      <alignment horizontal="right" vertical="center"/>
    </xf>
    <xf numFmtId="167" fontId="5" fillId="15" borderId="2" applyAlignment="1" pivotButton="0" quotePrefix="0" xfId="0">
      <alignment horizontal="right" vertical="center"/>
    </xf>
    <xf numFmtId="49" fontId="5" fillId="7" borderId="2" applyAlignment="1" pivotButton="0" quotePrefix="0" xfId="0">
      <alignment horizontal="right" vertical="center"/>
    </xf>
    <xf numFmtId="3" fontId="11" fillId="17" borderId="2" applyAlignment="1" pivotButton="0" quotePrefix="0" xfId="0">
      <alignment horizontal="center" vertical="center"/>
    </xf>
    <xf numFmtId="164" fontId="5" fillId="17" borderId="2" applyAlignment="1" pivotButton="0" quotePrefix="0" xfId="0">
      <alignment horizontal="right" vertical="center"/>
    </xf>
    <xf numFmtId="0" fontId="5" fillId="17" borderId="2" applyAlignment="1" pivotButton="0" quotePrefix="0" xfId="0">
      <alignment horizontal="right" vertical="center"/>
    </xf>
    <xf numFmtId="49" fontId="5" fillId="17" borderId="2" applyAlignment="1" pivotButton="0" quotePrefix="0" xfId="0">
      <alignment horizontal="right" vertical="center"/>
    </xf>
    <xf numFmtId="0" fontId="3" fillId="10" borderId="0" applyAlignment="1" pivotButton="0" quotePrefix="0" xfId="0">
      <alignment horizontal="center" vertical="center"/>
    </xf>
    <xf numFmtId="0" fontId="3" fillId="16" borderId="0" applyAlignment="1" pivotButton="0" quotePrefix="0" xfId="0">
      <alignment horizontal="center" vertical="center"/>
    </xf>
    <xf numFmtId="3" fontId="11" fillId="17" borderId="2" applyAlignment="1" pivotButton="0" quotePrefix="0" xfId="0">
      <alignment horizontal="right" vertical="center"/>
    </xf>
    <xf numFmtId="164" fontId="5" fillId="12" borderId="2" applyAlignment="1" pivotButton="0" quotePrefix="0" xfId="0">
      <alignment horizontal="right" vertical="center"/>
    </xf>
    <xf numFmtId="164" fontId="5" fillId="13" borderId="2" applyAlignment="1" pivotButton="0" quotePrefix="0" xfId="0">
      <alignment horizontal="right" vertical="center"/>
    </xf>
    <xf numFmtId="0" fontId="19" fillId="3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 <Relationship Id="rId_vml1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28" customWidth="1" min="3" max="3"/>
    <col width="16" customWidth="1" min="4" max="4"/>
    <col width="14" customWidth="1" min="5" max="5"/>
    <col width="6" customWidth="1" min="6" max="6"/>
  </cols>
  <sheetData>
    <row r="1" ht="32" customHeight="1">
      <c r="A1" s="1" t="inlineStr">
        <is>
          <t>🚗  AdRide — Unit Economics Calculator</t>
        </is>
      </c>
    </row>
    <row r="2" ht="18" customHeight="1">
      <c r="A2" s="2" t="inlineStr">
        <is>
          <t>Zmień żółte komórki (lub użyj suwaków) — wyniki aktualizują się automatycznie we wszystkich arkuszach</t>
        </is>
      </c>
    </row>
    <row r="3" ht="20" customHeight="1">
      <c r="A3" s="3" t="inlineStr">
        <is>
          <t xml:space="preserve">  🚘 FLOTA &amp; EKSPOZYCJA</t>
        </is>
      </c>
    </row>
    <row r="4" ht="18" customHeight="1">
      <c r="A4" s="4" t="inlineStr">
        <is>
          <t>Parametr</t>
        </is>
      </c>
      <c r="B4" s="4" t="inlineStr">
        <is>
          <t>Wartość</t>
        </is>
      </c>
      <c r="C4" s="4" t="inlineStr">
        <is>
          <t>Uwagi</t>
        </is>
      </c>
      <c r="D4" s="4" t="inlineStr">
        <is>
          <t>↕</t>
        </is>
      </c>
      <c r="E4" s="4" t="inlineStr"/>
    </row>
    <row r="5" ht="22" customHeight="1">
      <c r="A5" s="5" t="inlineStr">
        <is>
          <t>Liczba aut</t>
        </is>
      </c>
      <c r="B5" s="6" t="n">
        <v>10</v>
      </c>
      <c r="C5" s="7" t="inlineStr">
        <is>
          <t>aut (1–100)</t>
        </is>
      </c>
      <c r="D5" s="8" t="inlineStr">
        <is>
          <t>↕</t>
        </is>
      </c>
      <c r="E5" s="9" t="inlineStr"/>
    </row>
    <row r="6" ht="22" customHeight="1">
      <c r="A6" s="5" t="inlineStr">
        <is>
          <t>Kilometry / auto / mies.</t>
        </is>
      </c>
      <c r="B6" s="10">
        <f>F6*100</f>
        <v/>
      </c>
      <c r="C6" s="7" t="inlineStr">
        <is>
          <t>km — rzeczywista ekspozycja GPS</t>
        </is>
      </c>
      <c r="D6" s="8" t="inlineStr">
        <is>
          <t>↕</t>
        </is>
      </c>
      <c r="E6" s="9" t="inlineStr"/>
      <c r="F6" s="11" t="n">
        <v>10</v>
      </c>
    </row>
    <row r="7" ht="22" customHeight="1">
      <c r="A7" s="5" t="inlineStr">
        <is>
          <t>% km pozamiejskich</t>
        </is>
      </c>
      <c r="B7" s="6">
        <f>F7*5</f>
        <v/>
      </c>
      <c r="C7" s="7" t="inlineStr">
        <is>
          <t>% km drogi/jazda &gt;50 km/h (taniej, mniej ekspozycji)</t>
        </is>
      </c>
      <c r="D7" s="8" t="inlineStr">
        <is>
          <t>↕</t>
        </is>
      </c>
      <c r="E7" s="9" t="inlineStr"/>
      <c r="F7" s="11" t="n">
        <v>6</v>
      </c>
    </row>
    <row r="8" ht="22" customHeight="1">
      <c r="A8" s="5" t="inlineStr">
        <is>
          <t>Wartość auta</t>
        </is>
      </c>
      <c r="B8" s="10">
        <f>F8*10000</f>
        <v/>
      </c>
      <c r="C8" s="7" t="inlineStr">
        <is>
          <t>zł — referencja: 200 000 zł</t>
        </is>
      </c>
      <c r="D8" s="8" t="inlineStr">
        <is>
          <t>↕</t>
        </is>
      </c>
      <c r="E8" s="9" t="inlineStr"/>
      <c r="F8" s="11" t="n">
        <v>20</v>
      </c>
    </row>
    <row r="9" ht="22" customHeight="1">
      <c r="A9" s="5" t="inlineStr">
        <is>
          <t>Czas kampanii</t>
        </is>
      </c>
      <c r="B9" s="6" t="n">
        <v>6</v>
      </c>
      <c r="C9" s="7" t="inlineStr">
        <is>
          <t>miesięcy</t>
        </is>
      </c>
      <c r="D9" s="8" t="inlineStr">
        <is>
          <t>↕</t>
        </is>
      </c>
      <c r="E9" s="9" t="inlineStr"/>
    </row>
    <row r="10" ht="20" customHeight="1">
      <c r="A10" s="3" t="inlineStr">
        <is>
          <t xml:space="preserve">  👤 KIEROWCA (stawki miejska / pozamiejska)</t>
        </is>
      </c>
    </row>
    <row r="11" ht="18" customHeight="1">
      <c r="A11" s="4" t="inlineStr">
        <is>
          <t>Parametr</t>
        </is>
      </c>
      <c r="B11" s="4" t="inlineStr">
        <is>
          <t>Wartość</t>
        </is>
      </c>
      <c r="C11" s="4" t="inlineStr">
        <is>
          <t>Uwagi</t>
        </is>
      </c>
      <c r="D11" s="4" t="inlineStr">
        <is>
          <t>↕</t>
        </is>
      </c>
      <c r="E11" s="4" t="inlineStr"/>
    </row>
    <row r="12" ht="22" customHeight="1">
      <c r="A12" s="5" t="inlineStr">
        <is>
          <t>Stawka kierowcy / km miejski</t>
        </is>
      </c>
      <c r="B12" s="12">
        <f>F12*0.05</f>
        <v/>
      </c>
      <c r="C12" s="7" t="inlineStr">
        <is>
          <t>zł/km — teren zabud. ≤50 km/h</t>
        </is>
      </c>
      <c r="D12" s="8" t="inlineStr">
        <is>
          <t>↕</t>
        </is>
      </c>
      <c r="E12" s="9" t="inlineStr"/>
      <c r="F12" s="11" t="n">
        <v>12</v>
      </c>
    </row>
    <row r="13" ht="22" customHeight="1">
      <c r="A13" s="5" t="inlineStr">
        <is>
          <t>Stawka kierowcy / km pozamiejski</t>
        </is>
      </c>
      <c r="B13" s="12">
        <f>F13*0.05</f>
        <v/>
      </c>
      <c r="C13" s="7" t="inlineStr">
        <is>
          <t>zł/km — drogi/jazda &gt;50 km/h</t>
        </is>
      </c>
      <c r="D13" s="8" t="inlineStr">
        <is>
          <t>↕</t>
        </is>
      </c>
      <c r="E13" s="9" t="inlineStr"/>
      <c r="F13" s="11" t="n">
        <v>5</v>
      </c>
    </row>
    <row r="14" ht="22" customHeight="1">
      <c r="A14" s="5" t="inlineStr">
        <is>
          <t>Współczynnik oklejenia</t>
        </is>
      </c>
      <c r="B14" s="12" t="n">
        <v>1</v>
      </c>
      <c r="C14" s="7" t="inlineStr">
        <is>
          <t>1.0=całe, 0.5=pół, 0.3=naklejki</t>
        </is>
      </c>
      <c r="D14" s="9" t="inlineStr"/>
      <c r="E14" s="9" t="inlineStr"/>
    </row>
    <row r="15" ht="20" customHeight="1">
      <c r="A15" s="3" t="inlineStr">
        <is>
          <t xml:space="preserve">  📦 MODEL — ABONAMENTOWY (AdRide org. oklejenie, min. 12 mc)</t>
        </is>
      </c>
    </row>
    <row r="16" ht="18" customHeight="1">
      <c r="A16" s="4" t="inlineStr">
        <is>
          <t>Parametr</t>
        </is>
      </c>
      <c r="B16" s="4" t="inlineStr">
        <is>
          <t>Wartość</t>
        </is>
      </c>
      <c r="C16" s="4" t="inlineStr">
        <is>
          <t>Uwagi</t>
        </is>
      </c>
      <c r="D16" s="4" t="inlineStr">
        <is>
          <t>↕</t>
        </is>
      </c>
      <c r="E16" s="4" t="inlineStr"/>
    </row>
    <row r="17" ht="22" customHeight="1">
      <c r="A17" s="5" t="inlineStr">
        <is>
          <t>Koszt oklejenia / auto</t>
        </is>
      </c>
      <c r="B17" s="10">
        <f>F17*500</f>
        <v/>
      </c>
      <c r="C17" s="7" t="inlineStr">
        <is>
          <t>zł netto</t>
        </is>
      </c>
      <c r="D17" s="8" t="inlineStr">
        <is>
          <t>↕</t>
        </is>
      </c>
      <c r="E17" s="9" t="inlineStr"/>
      <c r="F17" s="11" t="n">
        <v>16</v>
      </c>
    </row>
    <row r="18" ht="22" customHeight="1">
      <c r="A18" s="5" t="inlineStr">
        <is>
          <t>Koszt demontażu / auto</t>
        </is>
      </c>
      <c r="B18" s="10">
        <f>F18*100</f>
        <v/>
      </c>
      <c r="C18" s="7" t="inlineStr">
        <is>
          <t>zł netto</t>
        </is>
      </c>
      <c r="D18" s="8" t="inlineStr">
        <is>
          <t>↕</t>
        </is>
      </c>
      <c r="E18" s="9" t="inlineStr"/>
      <c r="F18" s="11" t="n">
        <v>12</v>
      </c>
    </row>
    <row r="19" ht="22" customHeight="1">
      <c r="A19" s="5" t="inlineStr">
        <is>
          <t>Narzut ABO vs SUB (%)</t>
        </is>
      </c>
      <c r="B19" s="6">
        <f>F19*5</f>
        <v/>
      </c>
      <c r="C19" s="7" t="inlineStr">
        <is>
          <t>% — kryje oklejenie + logistykę (ABO droższy)</t>
        </is>
      </c>
      <c r="D19" s="8" t="inlineStr">
        <is>
          <t>↕</t>
        </is>
      </c>
      <c r="E19" s="9" t="inlineStr"/>
      <c r="F19" s="11" t="n">
        <v>17</v>
      </c>
    </row>
    <row r="20" ht="20" customHeight="1">
      <c r="A20" s="3" t="inlineStr">
        <is>
          <t xml:space="preserve">  💰 PRICING (per-km, miejska / pozamiejska)</t>
        </is>
      </c>
    </row>
    <row r="21" ht="18" customHeight="1">
      <c r="A21" s="4" t="inlineStr">
        <is>
          <t>Parametr</t>
        </is>
      </c>
      <c r="B21" s="4" t="inlineStr">
        <is>
          <t>Wartość</t>
        </is>
      </c>
      <c r="C21" s="4" t="inlineStr">
        <is>
          <t>Uwagi</t>
        </is>
      </c>
      <c r="D21" s="4" t="inlineStr">
        <is>
          <t>↕</t>
        </is>
      </c>
      <c r="E21" s="4" t="inlineStr"/>
    </row>
    <row r="22" ht="22" customHeight="1">
      <c r="A22" s="5" t="inlineStr">
        <is>
          <t>Stawka reklamodawcy / km miejski</t>
        </is>
      </c>
      <c r="B22" s="12">
        <f>F22*0.1</f>
        <v/>
      </c>
      <c r="C22" s="7" t="inlineStr">
        <is>
          <t>zł/km — teren zabud. ≤50 km/h</t>
        </is>
      </c>
      <c r="D22" s="8" t="inlineStr">
        <is>
          <t>↕</t>
        </is>
      </c>
      <c r="E22" s="9" t="inlineStr"/>
      <c r="F22" s="11" t="n">
        <v>12</v>
      </c>
    </row>
    <row r="23" ht="22" customHeight="1">
      <c r="A23" s="5" t="inlineStr">
        <is>
          <t>Stawka reklamodawcy / km pozamiejski</t>
        </is>
      </c>
      <c r="B23" s="12">
        <f>F23*0.1</f>
        <v/>
      </c>
      <c r="C23" s="7" t="inlineStr">
        <is>
          <t>zł/km — drogi/jazda &gt;50 km/h</t>
        </is>
      </c>
      <c r="D23" s="8" t="inlineStr">
        <is>
          <t>↕</t>
        </is>
      </c>
      <c r="E23" s="9" t="inlineStr"/>
      <c r="F23" s="11" t="n">
        <v>5</v>
      </c>
    </row>
    <row r="24" ht="22" customHeight="1">
      <c r="A24" s="5" t="inlineStr">
        <is>
          <t>Współczynnik prestiżu</t>
        </is>
      </c>
      <c r="B24" s="12">
        <f>F24*0.05</f>
        <v/>
      </c>
      <c r="C24" s="7" t="inlineStr">
        <is>
          <t>premium za wartość auta (symetryczny)</t>
        </is>
      </c>
      <c r="D24" s="8" t="inlineStr">
        <is>
          <t>↕</t>
        </is>
      </c>
      <c r="E24" s="9" t="inlineStr"/>
      <c r="F24" s="11" t="n">
        <v>6</v>
      </c>
    </row>
    <row r="25" ht="22" customHeight="1">
      <c r="A25" s="5" t="inlineStr">
        <is>
          <t>Marża docelowa (%)</t>
        </is>
      </c>
      <c r="B25" s="6" t="n">
        <v>30</v>
      </c>
      <c r="C25" s="7" t="inlineStr">
        <is>
          <t>% (próg alertu)</t>
        </is>
      </c>
      <c r="D25" s="8" t="inlineStr">
        <is>
          <t>↕</t>
        </is>
      </c>
      <c r="E25" s="9" t="inlineStr"/>
    </row>
    <row r="26" ht="20" customHeight="1">
      <c r="A26" s="3" t="inlineStr">
        <is>
          <t xml:space="preserve">  🔒 KOSZTY</t>
        </is>
      </c>
    </row>
    <row r="27" ht="18" customHeight="1">
      <c r="A27" s="4" t="inlineStr">
        <is>
          <t>Parametr</t>
        </is>
      </c>
      <c r="B27" s="4" t="inlineStr">
        <is>
          <t>Wartość</t>
        </is>
      </c>
      <c r="C27" s="4" t="inlineStr">
        <is>
          <t>Uwagi</t>
        </is>
      </c>
      <c r="D27" s="4" t="inlineStr">
        <is>
          <t>↕</t>
        </is>
      </c>
      <c r="E27" s="4" t="inlineStr"/>
    </row>
    <row r="28" ht="22" customHeight="1">
      <c r="A28" s="5" t="inlineStr">
        <is>
          <t>Jednorazowy audyt prawny</t>
        </is>
      </c>
      <c r="B28" s="10">
        <f>F28*1000</f>
        <v/>
      </c>
      <c r="C28" s="7" t="inlineStr">
        <is>
          <t>zł netto — koszt startu, NIE miesięczny</t>
        </is>
      </c>
      <c r="D28" s="8" t="inlineStr">
        <is>
          <t>↕</t>
        </is>
      </c>
      <c r="E28" s="9" t="inlineStr"/>
      <c r="F28" s="11" t="n">
        <v>15</v>
      </c>
    </row>
    <row r="29" ht="22" customHeight="1">
      <c r="A29" s="5" t="inlineStr">
        <is>
          <t>Koszty ops. platformy / mies.</t>
        </is>
      </c>
      <c r="B29" s="10">
        <f>F29*250</f>
        <v/>
      </c>
      <c r="C29" s="7" t="inlineStr">
        <is>
          <t>zł/mies.</t>
        </is>
      </c>
      <c r="D29" s="8" t="inlineStr">
        <is>
          <t>↕</t>
        </is>
      </c>
      <c r="E29" s="9" t="inlineStr"/>
      <c r="F29" s="11" t="n">
        <v>8</v>
      </c>
    </row>
  </sheetData>
  <mergeCells count="7">
    <mergeCell ref="A20:E20"/>
    <mergeCell ref="A26:E26"/>
    <mergeCell ref="A2:E2"/>
    <mergeCell ref="A15:E15"/>
    <mergeCell ref="A10:E10"/>
    <mergeCell ref="A1:E1"/>
    <mergeCell ref="A3:E3"/>
  </mergeCells>
  <pageMargins left="0.75" right="0.75" top="1" bottom="1" header="0.5" footer="0.5"/>
  <legacyDrawing r:id="rId_vml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0" customHeight="1">
      <c r="A1" s="13" t="inlineStr">
        <is>
          <t>AdRide — Subskrypcyjny</t>
        </is>
      </c>
    </row>
    <row r="2" ht="18" customHeight="1">
      <c r="A2" s="14" t="inlineStr">
        <is>
          <t xml:space="preserve">  ◆  Subskrypcyjny — Reklamodawca organizuje oklejenie. AdRide pobiera fee platformy.</t>
        </is>
      </c>
    </row>
    <row r="4" ht="20" customHeight="1">
      <c r="A4" s="15" t="inlineStr">
        <is>
          <t xml:space="preserve">  📐 Formuły składowe (/ auto / mies.)</t>
        </is>
      </c>
    </row>
    <row r="5" ht="18" customHeight="1">
      <c r="A5" s="4" t="inlineStr">
        <is>
          <t>Parametr</t>
        </is>
      </c>
      <c r="B5" s="4" t="inlineStr">
        <is>
          <t>Formuła / opis</t>
        </is>
      </c>
      <c r="C5" s="4" t="inlineStr">
        <is>
          <t>Wartość</t>
        </is>
      </c>
      <c r="D5" s="4" t="inlineStr"/>
      <c r="E5" s="4" t="inlineStr"/>
      <c r="F5" s="4" t="inlineStr"/>
    </row>
    <row r="6" ht="19" customHeight="1">
      <c r="A6" s="5" t="inlineStr">
        <is>
          <t>Współczynnik wartości auta</t>
        </is>
      </c>
      <c r="B6" s="16" t="inlineStr"/>
      <c r="C6" s="17">
        <f>('Dane wejściowe'!B8/200000)</f>
        <v/>
      </c>
    </row>
    <row r="7" ht="19" customHeight="1">
      <c r="A7" s="5" t="inlineStr">
        <is>
          <t>Współczynnik prestiżu (symetr.)</t>
        </is>
      </c>
      <c r="B7" s="16" t="inlineStr"/>
      <c r="C7" s="18">
        <f>(1+(('Dane wejściowe'!B8/200000)-1)*'Dane wejściowe'!B24)</f>
        <v/>
      </c>
    </row>
    <row r="8" ht="19" customHeight="1">
      <c r="A8" s="5" t="inlineStr">
        <is>
          <t>Ekspozycja: km / auto / mies.</t>
        </is>
      </c>
      <c r="B8" s="16" t="inlineStr"/>
      <c r="C8" s="19">
        <f>'Dane wejściowe'!B6</f>
        <v/>
      </c>
    </row>
    <row r="9" ht="19" customHeight="1">
      <c r="A9" s="5" t="inlineStr">
        <is>
          <t>Stawka kier. mieszana / km</t>
        </is>
      </c>
      <c r="B9" s="16" t="inlineStr"/>
      <c r="C9" s="17">
        <f>('Dane wejściowe'!B12*(1-('Dane wejściowe'!B7/100))+'Dane wejściowe'!B13*('Dane wejściowe'!B7/100))</f>
        <v/>
      </c>
    </row>
    <row r="10" ht="19" customHeight="1">
      <c r="A10" s="5" t="inlineStr">
        <is>
          <t>Stawka rekl. mieszana / km</t>
        </is>
      </c>
      <c r="B10" s="16" t="inlineStr"/>
      <c r="C10" s="17">
        <f>('Dane wejściowe'!B22*(1-('Dane wejściowe'!B7/100))+'Dane wejściowe'!B23*('Dane wejściowe'!B7/100))</f>
        <v/>
      </c>
    </row>
    <row r="11" ht="19" customHeight="1">
      <c r="A11" s="5" t="inlineStr">
        <is>
          <t>Wypłata kierowcy / auto / mies.</t>
        </is>
      </c>
      <c r="B11" s="16" t="inlineStr"/>
      <c r="C11" s="20">
        <f>'Dane wejściowe'!B6*('Dane wejściowe'!B12*(1-('Dane wejściowe'!B7/100))+'Dane wejściowe'!B13*('Dane wejściowe'!B7/100))*(1+(('Dane wejściowe'!B8/200000)-1)*'Dane wejściowe'!B24)*'Dane wejściowe'!B14</f>
        <v/>
      </c>
    </row>
    <row r="12" ht="19" customHeight="1">
      <c r="A12" s="5" t="inlineStr">
        <is>
          <t>Przychód AdRide / auto / mies.</t>
        </is>
      </c>
      <c r="B12" s="16" t="inlineStr"/>
      <c r="C12" s="21">
        <f>'Dane wejściowe'!B6*('Dane wejściowe'!B22*(1-('Dane wejściowe'!B7/100))+'Dane wejściowe'!B23*('Dane wejściowe'!B7/100))*(1+(('Dane wejściowe'!B8/200000)-1)*'Dane wejściowe'!B24)</f>
        <v/>
      </c>
    </row>
    <row r="13" ht="19" customHeight="1">
      <c r="A13" s="5" t="inlineStr">
        <is>
          <t>Koszt zmienny / auto / mies.</t>
        </is>
      </c>
      <c r="B13" s="16" t="inlineStr"/>
      <c r="C13" s="20">
        <f>'Dane wejściowe'!B6*('Dane wejściowe'!B12*(1-('Dane wejściowe'!B7/100))+'Dane wejściowe'!B13*('Dane wejściowe'!B7/100))*(1+(('Dane wejściowe'!B8/200000)-1)*'Dane wejściowe'!B24)*'Dane wejściowe'!B14</f>
        <v/>
      </c>
    </row>
    <row r="14" ht="19" customHeight="1">
      <c r="A14" s="5" t="inlineStr">
        <is>
          <t>Marża brutto / auto / mies.</t>
        </is>
      </c>
      <c r="B14" s="16" t="inlineStr"/>
      <c r="C14" s="22">
        <f>('Dane wejściowe'!B6*('Dane wejściowe'!B22*(1-('Dane wejściowe'!B7/100))+'Dane wejściowe'!B23*('Dane wejściowe'!B7/100))*(1+(('Dane wejściowe'!B8/200000)-1)*'Dane wejściowe'!B24))-('Dane wejściowe'!B6*('Dane wejściowe'!B12*(1-('Dane wejściowe'!B7/100))+'Dane wejściowe'!B13*('Dane wejściowe'!B7/100))*(1+(('Dane wejściowe'!B8/200000)-1)*'Dane wejściowe'!B24)*'Dane wejściowe'!B14)</f>
        <v/>
      </c>
    </row>
    <row r="15" ht="19" customHeight="1">
      <c r="A15" s="5" t="inlineStr">
        <is>
          <t>Marża brutto %</t>
        </is>
      </c>
      <c r="B15" s="16" t="inlineStr"/>
      <c r="C15" s="23">
        <f>IFERROR((('Dane wejściowe'!B6*('Dane wejściowe'!B22*(1-('Dane wejściowe'!B7/100))+'Dane wejściowe'!B23*('Dane wejściowe'!B7/100))*(1+(('Dane wejściowe'!B8/200000)-1)*'Dane wejściowe'!B24))-('Dane wejściowe'!B6*('Dane wejściowe'!B12*(1-('Dane wejściowe'!B7/100))+'Dane wejściowe'!B13*('Dane wejściowe'!B7/100))*(1+(('Dane wejściowe'!B8/200000)-1)*'Dane wejściowe'!B24)*'Dane wejściowe'!B14))/('Dane wejściowe'!B6*('Dane wejściowe'!B22*(1-('Dane wejściowe'!B7/100))+'Dane wejściowe'!B23*('Dane wejściowe'!B7/100))*(1+(('Dane wejściowe'!B8/200000)-1)*'Dane wejściowe'!B24))*100,0)</f>
        <v/>
      </c>
    </row>
    <row r="17" ht="20" customHeight="1">
      <c r="A17" s="15" t="inlineStr">
        <is>
          <t xml:space="preserve">  💧 Waterfall P&amp;L platformy / mies.  (audyt prawny = koszt jednorazowy, poza P&amp;L)</t>
        </is>
      </c>
    </row>
    <row r="18" ht="18" customHeight="1">
      <c r="A18" s="4" t="inlineStr">
        <is>
          <t>Pozycja</t>
        </is>
      </c>
      <c r="B18" s="4" t="inlineStr">
        <is>
          <t>Opis</t>
        </is>
      </c>
      <c r="C18" s="4" t="inlineStr">
        <is>
          <t>Kwota (zł/mies.)</t>
        </is>
      </c>
      <c r="D18" s="4" t="inlineStr">
        <is>
          <t>% przychodów</t>
        </is>
      </c>
      <c r="E18" s="4" t="inlineStr"/>
      <c r="F18" s="4" t="inlineStr"/>
    </row>
    <row r="19" ht="19" customHeight="1">
      <c r="A19" s="24" t="inlineStr">
        <is>
          <t>📈 Przychód (fee platformy)</t>
        </is>
      </c>
      <c r="B19" s="16">
        <f>'Dane wejściowe'!B5 aut × rev/auto</f>
        <v/>
      </c>
      <c r="C19" s="25">
        <f>(('Dane wejściowe'!B6*('Dane wejściowe'!B22*(1-('Dane wejściowe'!B7/100))+'Dane wejściowe'!B23*('Dane wejściowe'!B7/100))*(1+(('Dane wejściowe'!B8/200000)-1)*'Dane wejściowe'!B24))*'Dane wejściowe'!B5)</f>
        <v/>
      </c>
      <c r="D19" s="26">
        <f>IFERROR((('Dane wejściowe'!B6*('Dane wejściowe'!B22*(1-('Dane wejściowe'!B7/100))+'Dane wejściowe'!B23*('Dane wejściowe'!B7/100))*(1+(('Dane wejściowe'!B8/200000)-1)*'Dane wejściowe'!B24))*'Dane wejściowe'!B5)/((('Dane wejściowe'!B6*('Dane wejściowe'!B22*(1-('Dane wejściowe'!B7/100))+'Dane wejściowe'!B23*('Dane wejściowe'!B7/100))*(1+(('Dane wejściowe'!B8/200000)-1)*'Dane wejściowe'!B24))*'Dane wejściowe'!B5))*100,0)</f>
        <v/>
      </c>
    </row>
    <row r="20" ht="19" customHeight="1">
      <c r="A20" s="27" t="inlineStr">
        <is>
          <t>📉 Wypłata kierowców</t>
        </is>
      </c>
      <c r="B20" s="16">
        <f>'Dane wejściowe'!B5 aut × payout/auto</f>
        <v/>
      </c>
      <c r="C20" s="28">
        <f>-('Dane wejściowe'!B6*('Dane wejściowe'!B12*(1-('Dane wejściowe'!B7/100))+'Dane wejściowe'!B13*('Dane wejściowe'!B7/100))*(1+(('Dane wejściowe'!B8/200000)-1)*'Dane wejściowe'!B24)*'Dane wejściowe'!B14)*'Dane wejściowe'!B5</f>
        <v/>
      </c>
      <c r="D20" s="29">
        <f>IFERROR(-('Dane wejściowe'!B6*('Dane wejściowe'!B12*(1-('Dane wejściowe'!B7/100))+'Dane wejściowe'!B13*('Dane wejściowe'!B7/100))*(1+(('Dane wejściowe'!B8/200000)-1)*'Dane wejściowe'!B24)*'Dane wejściowe'!B14)*'Dane wejściowe'!B5/((('Dane wejściowe'!B6*('Dane wejściowe'!B22*(1-('Dane wejściowe'!B7/100))+'Dane wejściowe'!B23*('Dane wejściowe'!B7/100))*(1+(('Dane wejściowe'!B8/200000)-1)*'Dane wejściowe'!B24))*'Dane wejściowe'!B5))*100,0)</f>
        <v/>
      </c>
    </row>
    <row r="21" ht="19" customHeight="1">
      <c r="A21" s="27" t="inlineStr">
        <is>
          <t>📉 Koszty ops. platformy</t>
        </is>
      </c>
      <c r="B21" s="16" t="inlineStr">
        <is>
          <t>stały / mies.</t>
        </is>
      </c>
      <c r="C21" s="28">
        <f>-'Dane wejściowe'!B29</f>
        <v/>
      </c>
      <c r="D21" s="29">
        <f>IFERROR(-'Dane wejściowe'!B29/((('Dane wejściowe'!B6*('Dane wejściowe'!B22*(1-('Dane wejściowe'!B7/100))+'Dane wejściowe'!B23*('Dane wejściowe'!B7/100))*(1+(('Dane wejściowe'!B8/200000)-1)*'Dane wejściowe'!B24))*'Dane wejściowe'!B5))*100,0)</f>
        <v/>
      </c>
    </row>
    <row r="22" ht="24" customHeight="1">
      <c r="A22" s="30" t="inlineStr">
        <is>
          <t>✅ ZYSK OPERACYJNY / mies.</t>
        </is>
      </c>
      <c r="B22" s="31" t="inlineStr">
        <is>
          <t>bez kosztu prawnego (jednorazowy)</t>
        </is>
      </c>
      <c r="C22" s="32">
        <f>(('Dane wejściowe'!B6*('Dane wejściowe'!B22*(1-('Dane wejściowe'!B7/100))+'Dane wejściowe'!B23*('Dane wejściowe'!B7/100))*(1+(('Dane wejściowe'!B8/200000)-1)*'Dane wejściowe'!B24))*'Dane wejściowe'!B5)-(('Dane wejściowe'!B6*('Dane wejściowe'!B12*(1-('Dane wejściowe'!B7/100))+'Dane wejściowe'!B13*('Dane wejściowe'!B7/100))*(1+(('Dane wejściowe'!B8/200000)-1)*'Dane wejściowe'!B24)*'Dane wejściowe'!B14)*'Dane wejściowe'!B5)-'Dane wejściowe'!B29</f>
        <v/>
      </c>
      <c r="D22" s="33">
        <f>IFERROR(((('Dane wejściowe'!B6*('Dane wejściowe'!B22*(1-('Dane wejściowe'!B7/100))+'Dane wejściowe'!B23*('Dane wejściowe'!B7/100))*(1+(('Dane wejściowe'!B8/200000)-1)*'Dane wejściowe'!B24))*'Dane wejściowe'!B5)-(('Dane wejściowe'!B6*('Dane wejściowe'!B12*(1-('Dane wejściowe'!B7/100))+'Dane wejściowe'!B13*('Dane wejściowe'!B7/100))*(1+(('Dane wejściowe'!B8/200000)-1)*'Dane wejściowe'!B24)*'Dane wejściowe'!B14)*'Dane wejściowe'!B5)-'Dane wejściowe'!B29)/((('Dane wejściowe'!B6*('Dane wejściowe'!B22*(1-('Dane wejściowe'!B7/100))+'Dane wejściowe'!B23*('Dane wejściowe'!B7/100))*(1+(('Dane wejściowe'!B8/200000)-1)*'Dane wejściowe'!B24))*'Dane wejściowe'!B5))*100,0)</f>
        <v/>
      </c>
    </row>
    <row r="24" ht="20" customHeight="1">
      <c r="A24" s="15" t="inlineStr">
        <is>
          <t xml:space="preserve">  🎯 Jednorazowy koszt startu i Break-Even</t>
        </is>
      </c>
    </row>
    <row r="25" ht="18" customHeight="1">
      <c r="A25" s="4" t="inlineStr">
        <is>
          <t>Metryka</t>
        </is>
      </c>
      <c r="B25" s="4" t="inlineStr">
        <is>
          <t>Wartość</t>
        </is>
      </c>
      <c r="C25" s="4" t="inlineStr">
        <is>
          <t>Interpretacja</t>
        </is>
      </c>
      <c r="D25" s="4" t="inlineStr"/>
      <c r="E25" s="4" t="inlineStr"/>
      <c r="F25" s="4" t="inlineStr"/>
    </row>
    <row r="26" ht="22" customHeight="1">
      <c r="A26" s="5" t="inlineStr">
        <is>
          <t>Jednorazowy audyt prawny</t>
        </is>
      </c>
      <c r="B26" s="22">
        <f>'Dane wejściowe'!B28</f>
        <v/>
      </c>
      <c r="C26" s="34" t="inlineStr">
        <is>
          <t>Koszt poniesiony RAZ przy starcie — niezależny od liczby umów</t>
        </is>
      </c>
    </row>
    <row r="27" ht="22" customHeight="1">
      <c r="A27" s="5" t="inlineStr">
        <is>
          <t>Zysk operacyjny / mies.</t>
        </is>
      </c>
      <c r="B27" s="22">
        <f>((('Dane wejściowe'!B6*('Dane wejściowe'!B22*(1-('Dane wejściowe'!B7/100))+'Dane wejściowe'!B23*('Dane wejściowe'!B7/100))*(1+(('Dane wejściowe'!B8/200000)-1)*'Dane wejściowe'!B24))*'Dane wejściowe'!B5)-(('Dane wejściowe'!B6*('Dane wejściowe'!B12*(1-('Dane wejściowe'!B7/100))+'Dane wejściowe'!B13*('Dane wejściowe'!B7/100))*(1+(('Dane wejściowe'!B8/200000)-1)*'Dane wejściowe'!B24)*'Dane wejściowe'!B14)*'Dane wejściowe'!B5)-'Dane wejściowe'!B29)</f>
        <v/>
      </c>
      <c r="C27" s="34" t="inlineStr">
        <is>
          <t>Miesięczna nadwyżka do spłaty startu</t>
        </is>
      </c>
    </row>
    <row r="28" ht="22" customHeight="1">
      <c r="A28" s="5" t="inlineStr">
        <is>
          <t>Miesięcy do zwrotu audytu</t>
        </is>
      </c>
      <c r="B28" s="35">
        <f>IFERROR(IF(((('Dane wejściowe'!B6*('Dane wejściowe'!B22*(1-('Dane wejściowe'!B7/100))+'Dane wejściowe'!B23*('Dane wejściowe'!B7/100))*(1+(('Dane wejściowe'!B8/200000)-1)*'Dane wejściowe'!B24))*'Dane wejściowe'!B5)-(('Dane wejściowe'!B6*('Dane wejściowe'!B12*(1-('Dane wejściowe'!B7/100))+'Dane wejściowe'!B13*('Dane wejściowe'!B7/100))*(1+(('Dane wejściowe'!B8/200000)-1)*'Dane wejściowe'!B24)*'Dane wejściowe'!B14)*'Dane wejściowe'!B5)-'Dane wejściowe'!B29)&gt;0,'Dane wejściowe'!B28/((('Dane wejściowe'!B6*('Dane wejściowe'!B22*(1-('Dane wejściowe'!B7/100))+'Dane wejściowe'!B23*('Dane wejściowe'!B7/100))*(1+(('Dane wejściowe'!B8/200000)-1)*'Dane wejściowe'!B24))*'Dane wejściowe'!B5)-(('Dane wejściowe'!B6*('Dane wejściowe'!B12*(1-('Dane wejściowe'!B7/100))+'Dane wejściowe'!B13*('Dane wejściowe'!B7/100))*(1+(('Dane wejściowe'!B8/200000)-1)*'Dane wejściowe'!B24)*'Dane wejściowe'!B14)*'Dane wejściowe'!B5)-'Dane wejściowe'!B29),"N/A"),"N/A")</f>
        <v/>
      </c>
      <c r="C28" s="34">
        <f> audyt prawny ÷ zysk operacyjny / mies. (przy 'Dane wejściowe'!B5 autach)</f>
        <v/>
      </c>
    </row>
    <row r="29" ht="22" customHeight="1">
      <c r="A29" s="5" t="inlineStr">
        <is>
          <t>Pokrycie kosztów stałych</t>
        </is>
      </c>
      <c r="B29" s="36">
        <f>IFERROR('Dane wejściowe'!B29/(('Dane wejściowe'!B6*('Dane wejściowe'!B22*(1-('Dane wejściowe'!B7/100))+'Dane wejściowe'!B23*('Dane wejściowe'!B7/100))*(1+(('Dane wejściowe'!B8/200000)-1)*'Dane wejściowe'!B24))*'Dane wejściowe'!B5)-(('Dane wejściowe'!B6*('Dane wejściowe'!B12*(1-('Dane wejściowe'!B7/100))+'Dane wejściowe'!B13*('Dane wejściowe'!B7/100))*(1+(('Dane wejściowe'!B8/200000)-1)*'Dane wejściowe'!B24)*'Dane wejściowe'!B14)*'Dane wejściowe'!B5),"N/A")</f>
        <v/>
      </c>
      <c r="C29" s="34" t="inlineStr">
        <is>
          <t>% zysku brutto zajęty przez ops (&lt; 1 = opłacalne operacyjnie)</t>
        </is>
      </c>
    </row>
    <row r="31" ht="20" customHeight="1">
      <c r="A31" s="15" t="inlineStr">
        <is>
          <t xml:space="preserve">  💼 Całkowity koszt reklamodawcy (za kampanię)</t>
        </is>
      </c>
    </row>
    <row r="32" ht="18" customHeight="1">
      <c r="A32" s="4" t="inlineStr">
        <is>
          <t>Składnik</t>
        </is>
      </c>
      <c r="B32" s="4" t="inlineStr">
        <is>
          <t>Wzór</t>
        </is>
      </c>
      <c r="C32" s="4" t="inlineStr">
        <is>
          <t>Łącznie</t>
        </is>
      </c>
      <c r="D32" s="4" t="inlineStr">
        <is>
          <t>/ auto</t>
        </is>
      </c>
      <c r="E32" s="4" t="inlineStr">
        <is>
          <t>/ auto / mies.</t>
        </is>
      </c>
      <c r="F32" s="4" t="inlineStr"/>
    </row>
    <row r="33">
      <c r="A33" s="5" t="inlineStr">
        <is>
          <t>Opłata platformy AdRide</t>
        </is>
      </c>
      <c r="B33" s="16" t="inlineStr">
        <is>
          <t>rev/auto × N × months</t>
        </is>
      </c>
      <c r="C33" s="37">
        <f>('Dane wejściowe'!B6*('Dane wejściowe'!B22*(1-('Dane wejściowe'!B7/100))+'Dane wejściowe'!B23*('Dane wejściowe'!B7/100))*(1+(('Dane wejściowe'!B8/200000)-1)*'Dane wejściowe'!B24))*'Dane wejściowe'!B5*'Dane wejściowe'!B9</f>
        <v/>
      </c>
      <c r="D33" s="38">
        <f>('Dane wejściowe'!B6*('Dane wejściowe'!B22*(1-('Dane wejściowe'!B7/100))+'Dane wejściowe'!B23*('Dane wejściowe'!B7/100))*(1+(('Dane wejściowe'!B8/200000)-1)*'Dane wejściowe'!B24))*'Dane wejściowe'!B9</f>
        <v/>
      </c>
      <c r="E33" s="38">
        <f>'Dane wejściowe'!B6*('Dane wejściowe'!B22*(1-('Dane wejściowe'!B7/100))+'Dane wejściowe'!B23*('Dane wejściowe'!B7/100))*(1+(('Dane wejściowe'!B8/200000)-1)*'Dane wejściowe'!B24)</f>
        <v/>
      </c>
      <c r="F33" s="9" t="inlineStr"/>
    </row>
    <row r="34">
      <c r="A34" s="39" t="inlineStr">
        <is>
          <t>Koszt oklejenia + demontażu (reklamodawca płaci sam)</t>
        </is>
      </c>
      <c r="B34" s="40" t="inlineStr">
        <is>
          <t>(wrapCost+unwrapCost)×N — poza AdRide</t>
        </is>
      </c>
      <c r="C34" s="41">
        <f>('Dane wejściowe'!B17+'Dane wejściowe'!B18)*'Dane wejściowe'!B5</f>
        <v/>
      </c>
      <c r="D34" s="42">
        <f>'Dane wejściowe'!B17+'Dane wejściowe'!B18</f>
        <v/>
      </c>
      <c r="E34" s="42">
        <f>('Dane wejściowe'!B17+'Dane wejściowe'!B18)/'Dane wejściowe'!B9</f>
        <v/>
      </c>
      <c r="F34" t="inlineStr">
        <is>
          <t>⚠ Poza platformą</t>
        </is>
      </c>
    </row>
    <row r="35" ht="22" customHeight="1">
      <c r="A35" s="30" t="inlineStr">
        <is>
          <t>💰 ŁĄCZNY KOSZT REKLAMODAWCY</t>
        </is>
      </c>
      <c r="B35" s="43" t="inlineStr"/>
      <c r="C35" s="44">
        <f>(('Dane wejściowe'!B6*('Dane wejściowe'!B22*(1-('Dane wejściowe'!B7/100))+'Dane wejściowe'!B23*('Dane wejściowe'!B7/100))*(1+(('Dane wejściowe'!B8/200000)-1)*'Dane wejściowe'!B24))*'Dane wejściowe'!B5*'Dane wejściowe'!B9)+(('Dane wejściowe'!B17+'Dane wejściowe'!B18)*'Dane wejściowe'!B5)</f>
        <v/>
      </c>
      <c r="D35" s="45">
        <f>((('Dane wejściowe'!B6*('Dane wejściowe'!B22*(1-('Dane wejściowe'!B7/100))+'Dane wejściowe'!B23*('Dane wejściowe'!B7/100))*(1+(('Dane wejściowe'!B8/200000)-1)*'Dane wejściowe'!B24))*'Dane wejściowe'!B5*'Dane wejściowe'!B9)+(('Dane wejściowe'!B17+'Dane wejściowe'!B18)*'Dane wejściowe'!B5))/'Dane wejściowe'!B5</f>
        <v/>
      </c>
      <c r="E35" s="45">
        <f>((('Dane wejściowe'!B6*('Dane wejściowe'!B22*(1-('Dane wejściowe'!B7/100))+'Dane wejściowe'!B23*('Dane wejściowe'!B7/100))*(1+(('Dane wejściowe'!B8/200000)-1)*'Dane wejściowe'!B24))*'Dane wejściowe'!B5*'Dane wejściowe'!B9)+(('Dane wejściowe'!B17+'Dane wejściowe'!B18)*'Dane wejściowe'!B5))/('Dane wejściowe'!B5*'Dane wejściowe'!B9)</f>
        <v/>
      </c>
      <c r="F35" s="43" t="inlineStr"/>
    </row>
    <row r="37" ht="20" customHeight="1">
      <c r="A37" s="15" t="inlineStr">
        <is>
          <t xml:space="preserve">  🔍 P&amp;L na jedno auto / mies.</t>
        </is>
      </c>
    </row>
    <row r="38" ht="18" customHeight="1">
      <c r="A38" s="4" t="inlineStr">
        <is>
          <t>Pozycja</t>
        </is>
      </c>
      <c r="B38" s="4" t="inlineStr">
        <is>
          <t>Kwota / auto</t>
        </is>
      </c>
      <c r="C38" s="4" t="inlineStr"/>
      <c r="D38" s="4" t="inlineStr"/>
      <c r="E38" s="4" t="inlineStr"/>
      <c r="F38" s="4" t="inlineStr"/>
    </row>
    <row r="39" ht="18" customHeight="1">
      <c r="A39" s="24" t="inlineStr">
        <is>
          <t>Przychód (fee platformy)</t>
        </is>
      </c>
      <c r="B39" s="46">
        <f>'Dane wejściowe'!B6*('Dane wejściowe'!B22*(1-('Dane wejściowe'!B7/100))+'Dane wejściowe'!B23*('Dane wejściowe'!B7/100))*(1+(('Dane wejściowe'!B8/200000)-1)*'Dane wejściowe'!B24)</f>
        <v/>
      </c>
    </row>
    <row r="40" ht="18" customHeight="1">
      <c r="A40" s="27" t="inlineStr">
        <is>
          <t>Wypłata kierowcy</t>
        </is>
      </c>
      <c r="B40" s="47">
        <f>-('Dane wejściowe'!B6*('Dane wejściowe'!B12*(1-('Dane wejściowe'!B7/100))+'Dane wejściowe'!B13*('Dane wejściowe'!B7/100))*(1+(('Dane wejściowe'!B8/200000)-1)*'Dane wejściowe'!B24)*'Dane wejściowe'!B14)</f>
        <v/>
      </c>
    </row>
    <row r="41" ht="20" customHeight="1">
      <c r="A41" s="48" t="inlineStr">
        <is>
          <t>Marża brutto</t>
        </is>
      </c>
      <c r="B41" s="22">
        <f>('Dane wejściowe'!B6*('Dane wejściowe'!B22*(1-('Dane wejściowe'!B7/100))+'Dane wejściowe'!B23*('Dane wejściowe'!B7/100))*(1+(('Dane wejściowe'!B8/200000)-1)*'Dane wejściowe'!B24))-('Dane wejściowe'!B6*('Dane wejściowe'!B12*(1-('Dane wejściowe'!B7/100))+'Dane wejściowe'!B13*('Dane wejściowe'!B7/100))*(1+(('Dane wejściowe'!B8/200000)-1)*'Dane wejściowe'!B24)*'Dane wejściowe'!B14)</f>
        <v/>
      </c>
    </row>
    <row r="42" ht="18" customHeight="1">
      <c r="A42" s="27" t="inlineStr">
        <is>
          <t>Ops. platforma / auto</t>
        </is>
      </c>
      <c r="B42" s="47">
        <f>-'Dane wejściowe'!B29/'Dane wejściowe'!B5</f>
        <v/>
      </c>
    </row>
    <row r="43" ht="20" customHeight="1">
      <c r="A43" s="5" t="inlineStr">
        <is>
          <t>Marża operacyjna netto / auto</t>
        </is>
      </c>
      <c r="B43" s="49">
        <f>((('Dane wejściowe'!B6*('Dane wejściowe'!B22*(1-('Dane wejściowe'!B7/100))+'Dane wejściowe'!B23*('Dane wejściowe'!B7/100))*(1+(('Dane wejściowe'!B8/200000)-1)*'Dane wejściowe'!B24))*'Dane wejściowe'!B5)-(('Dane wejściowe'!B6*('Dane wejściowe'!B12*(1-('Dane wejściowe'!B7/100))+'Dane wejściowe'!B13*('Dane wejściowe'!B7/100))*(1+(('Dane wejściowe'!B8/200000)-1)*'Dane wejściowe'!B24)*'Dane wejściowe'!B14)*'Dane wejściowe'!B5)-'Dane wejściowe'!B29)/'Dane wejściowe'!B5</f>
        <v/>
      </c>
    </row>
  </sheetData>
  <mergeCells count="30">
    <mergeCell ref="D11:F11"/>
    <mergeCell ref="D13:F13"/>
    <mergeCell ref="D27:F27"/>
    <mergeCell ref="C39:F39"/>
    <mergeCell ref="A37:F37"/>
    <mergeCell ref="D7:F7"/>
    <mergeCell ref="A2:F2"/>
    <mergeCell ref="E20:F20"/>
    <mergeCell ref="D28:F28"/>
    <mergeCell ref="E19:F19"/>
    <mergeCell ref="D12:F12"/>
    <mergeCell ref="D9:F9"/>
    <mergeCell ref="A17:F17"/>
    <mergeCell ref="A4:F4"/>
    <mergeCell ref="D8:F8"/>
    <mergeCell ref="C42:F42"/>
    <mergeCell ref="D15:F15"/>
    <mergeCell ref="D14:F14"/>
    <mergeCell ref="D29:F29"/>
    <mergeCell ref="A31:F31"/>
    <mergeCell ref="D26:F26"/>
    <mergeCell ref="C41:F41"/>
    <mergeCell ref="D10:F10"/>
    <mergeCell ref="A24:F24"/>
    <mergeCell ref="C40:F40"/>
    <mergeCell ref="A1:F1"/>
    <mergeCell ref="C43:F43"/>
    <mergeCell ref="E22:F22"/>
    <mergeCell ref="D6:F6"/>
    <mergeCell ref="E21:F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0" customHeight="1">
      <c r="A1" s="13" t="inlineStr">
        <is>
          <t>AdRide — Abonamentowy</t>
        </is>
      </c>
    </row>
    <row r="2" ht="18" customHeight="1">
      <c r="A2" s="50" t="inlineStr">
        <is>
          <t xml:space="preserve">  ✦  Abonamentowy — AdRide organizuje oklejenie. Koszt absorbowany w marży.</t>
        </is>
      </c>
    </row>
    <row r="4" ht="20" customHeight="1">
      <c r="A4" s="51" t="inlineStr">
        <is>
          <t xml:space="preserve">  📐 Formuły składowe (/ auto / mies.)</t>
        </is>
      </c>
    </row>
    <row r="5" ht="18" customHeight="1">
      <c r="A5" s="4" t="inlineStr">
        <is>
          <t>Parametr</t>
        </is>
      </c>
      <c r="B5" s="4" t="inlineStr">
        <is>
          <t>Formuła / opis</t>
        </is>
      </c>
      <c r="C5" s="4" t="inlineStr">
        <is>
          <t>Wartość</t>
        </is>
      </c>
      <c r="D5" s="4" t="inlineStr"/>
      <c r="E5" s="4" t="inlineStr"/>
      <c r="F5" s="4" t="inlineStr"/>
    </row>
    <row r="6" ht="19" customHeight="1">
      <c r="A6" s="5" t="inlineStr">
        <is>
          <t>Współczynnik wartości auta</t>
        </is>
      </c>
      <c r="B6" s="16" t="inlineStr"/>
      <c r="C6" s="17">
        <f>('Dane wejściowe'!B8/200000)</f>
        <v/>
      </c>
    </row>
    <row r="7" ht="19" customHeight="1">
      <c r="A7" s="5" t="inlineStr">
        <is>
          <t>Współczynnik prestiżu (symetr.)</t>
        </is>
      </c>
      <c r="B7" s="16" t="inlineStr"/>
      <c r="C7" s="18">
        <f>(1+(('Dane wejściowe'!B8/200000)-1)*'Dane wejściowe'!B24)</f>
        <v/>
      </c>
    </row>
    <row r="8" ht="19" customHeight="1">
      <c r="A8" s="5" t="inlineStr">
        <is>
          <t>Ekspozycja: km / auto / mies.</t>
        </is>
      </c>
      <c r="B8" s="16" t="inlineStr"/>
      <c r="C8" s="19">
        <f>'Dane wejściowe'!B6</f>
        <v/>
      </c>
    </row>
    <row r="9" ht="19" customHeight="1">
      <c r="A9" s="5" t="inlineStr">
        <is>
          <t>Stawka kier. mieszana / km</t>
        </is>
      </c>
      <c r="B9" s="16" t="inlineStr"/>
      <c r="C9" s="17">
        <f>('Dane wejściowe'!B12*(1-('Dane wejściowe'!B7/100))+'Dane wejściowe'!B13*('Dane wejściowe'!B7/100))</f>
        <v/>
      </c>
    </row>
    <row r="10" ht="19" customHeight="1">
      <c r="A10" s="5" t="inlineStr">
        <is>
          <t>Stawka rekl. mieszana / km</t>
        </is>
      </c>
      <c r="B10" s="16" t="inlineStr"/>
      <c r="C10" s="17">
        <f>('Dane wejściowe'!B22*(1-('Dane wejściowe'!B7/100))+'Dane wejściowe'!B23*('Dane wejściowe'!B7/100))</f>
        <v/>
      </c>
    </row>
    <row r="11" ht="19" customHeight="1">
      <c r="A11" s="5" t="inlineStr">
        <is>
          <t>Wypłata kierowcy / auto / mies.</t>
        </is>
      </c>
      <c r="B11" s="16" t="inlineStr"/>
      <c r="C11" s="20">
        <f>'Dane wejściowe'!B6*('Dane wejściowe'!B12*(1-('Dane wejściowe'!B7/100))+'Dane wejściowe'!B13*('Dane wejściowe'!B7/100))*(1+(('Dane wejściowe'!B8/200000)-1)*'Dane wejściowe'!B24)*'Dane wejściowe'!B14</f>
        <v/>
      </c>
    </row>
    <row r="12" ht="19" customHeight="1">
      <c r="A12" s="5" t="inlineStr">
        <is>
          <t>Przychód AdRide / auto / mies.</t>
        </is>
      </c>
      <c r="B12" s="16" t="inlineStr"/>
      <c r="C12" s="21">
        <f>'Dane wejściowe'!B6*('Dane wejściowe'!B22*(1-('Dane wejściowe'!B7/100))+'Dane wejściowe'!B23*('Dane wejściowe'!B7/100))*(1+(('Dane wejściowe'!B8/200000)-1)*'Dane wejściowe'!B24)*(1+'Dane wejściowe'!B19/100)</f>
        <v/>
      </c>
    </row>
    <row r="13" ht="19" customHeight="1">
      <c r="A13" s="5" t="inlineStr">
        <is>
          <t>Amortyzacja oklejenia / auto / mies.</t>
        </is>
      </c>
      <c r="B13" s="16" t="inlineStr"/>
      <c r="C13" s="20">
        <f>'Dane wejściowe'!B17/MAX('Dane wejściowe'!B9,12)</f>
        <v/>
      </c>
    </row>
    <row r="14" ht="19" customHeight="1">
      <c r="A14" s="5" t="inlineStr">
        <is>
          <t>Amortyzacja demontażu / auto / mies.</t>
        </is>
      </c>
      <c r="B14" s="16" t="inlineStr"/>
      <c r="C14" s="20">
        <f>'Dane wejściowe'!B18/MAX('Dane wejściowe'!B9,12)</f>
        <v/>
      </c>
    </row>
    <row r="15" ht="19" customHeight="1">
      <c r="A15" s="5" t="inlineStr">
        <is>
          <t>Koszt zmienny / auto / mies.</t>
        </is>
      </c>
      <c r="B15" s="16" t="inlineStr"/>
      <c r="C15" s="20">
        <f>'Dane wejściowe'!B6*('Dane wejściowe'!B12*(1-('Dane wejściowe'!B7/100))+'Dane wejściowe'!B13*('Dane wejściowe'!B7/100))*(1+(('Dane wejściowe'!B8/200000)-1)*'Dane wejściowe'!B24)*'Dane wejściowe'!B14+'Dane wejściowe'!B17/MAX('Dane wejściowe'!B9,12)+'Dane wejściowe'!B18/MAX('Dane wejściowe'!B9,12)</f>
        <v/>
      </c>
    </row>
    <row r="16" ht="19" customHeight="1">
      <c r="A16" s="5" t="inlineStr">
        <is>
          <t>Marża brutto / auto / mies.</t>
        </is>
      </c>
      <c r="B16" s="16" t="inlineStr"/>
      <c r="C16" s="52">
        <f>('Dane wejściowe'!B6*('Dane wejściowe'!B22*(1-('Dane wejściowe'!B7/100))+'Dane wejściowe'!B23*('Dane wejściowe'!B7/100))*(1+(('Dane wejściowe'!B8/200000)-1)*'Dane wejściowe'!B24)*(1+'Dane wejściowe'!B19/100))-('Dane wejściowe'!B6*('Dane wejściowe'!B12*(1-('Dane wejściowe'!B7/100))+'Dane wejściowe'!B13*('Dane wejściowe'!B7/100))*(1+(('Dane wejściowe'!B8/200000)-1)*'Dane wejściowe'!B24)*'Dane wejściowe'!B14+'Dane wejściowe'!B17/MAX('Dane wejściowe'!B9,12)+'Dane wejściowe'!B18/MAX('Dane wejściowe'!B9,12))</f>
        <v/>
      </c>
    </row>
    <row r="17" ht="19" customHeight="1">
      <c r="A17" s="5" t="inlineStr">
        <is>
          <t>Marża brutto %</t>
        </is>
      </c>
      <c r="B17" s="16" t="inlineStr"/>
      <c r="C17" s="53">
        <f>IFERROR((('Dane wejściowe'!B6*('Dane wejściowe'!B22*(1-('Dane wejściowe'!B7/100))+'Dane wejściowe'!B23*('Dane wejściowe'!B7/100))*(1+(('Dane wejściowe'!B8/200000)-1)*'Dane wejściowe'!B24)*(1+'Dane wejściowe'!B19/100))-('Dane wejściowe'!B6*('Dane wejściowe'!B12*(1-('Dane wejściowe'!B7/100))+'Dane wejściowe'!B13*('Dane wejściowe'!B7/100))*(1+(('Dane wejściowe'!B8/200000)-1)*'Dane wejściowe'!B24)*'Dane wejściowe'!B14+'Dane wejściowe'!B17/MAX('Dane wejściowe'!B9,12)+'Dane wejściowe'!B18/MAX('Dane wejściowe'!B9,12)))/('Dane wejściowe'!B6*('Dane wejściowe'!B22*(1-('Dane wejściowe'!B7/100))+'Dane wejściowe'!B23*('Dane wejściowe'!B7/100))*(1+(('Dane wejściowe'!B8/200000)-1)*'Dane wejściowe'!B24)*(1+'Dane wejściowe'!B19/100))*100,0)</f>
        <v/>
      </c>
    </row>
    <row r="19" ht="20" customHeight="1">
      <c r="A19" s="51" t="inlineStr">
        <is>
          <t xml:space="preserve">  💧 Waterfall P&amp;L platformy / mies.  (audyt prawny = koszt jednorazowy, poza P&amp;L)</t>
        </is>
      </c>
    </row>
    <row r="20" ht="18" customHeight="1">
      <c r="A20" s="4" t="inlineStr">
        <is>
          <t>Pozycja</t>
        </is>
      </c>
      <c r="B20" s="4" t="inlineStr">
        <is>
          <t>Opis</t>
        </is>
      </c>
      <c r="C20" s="4" t="inlineStr">
        <is>
          <t>Kwota (zł/mies.)</t>
        </is>
      </c>
      <c r="D20" s="4" t="inlineStr">
        <is>
          <t>% przychodów</t>
        </is>
      </c>
      <c r="E20" s="4" t="inlineStr"/>
      <c r="F20" s="4" t="inlineStr"/>
    </row>
    <row r="21" ht="19" customHeight="1">
      <c r="A21" s="24" t="inlineStr">
        <is>
          <t>📈 Przychód (fee platformy)</t>
        </is>
      </c>
      <c r="B21" s="16">
        <f>'Dane wejściowe'!B5 aut × rev/auto</f>
        <v/>
      </c>
      <c r="C21" s="25">
        <f>(('Dane wejściowe'!B6*('Dane wejściowe'!B22*(1-('Dane wejściowe'!B7/100))+'Dane wejściowe'!B23*('Dane wejściowe'!B7/100))*(1+(('Dane wejściowe'!B8/200000)-1)*'Dane wejściowe'!B24)*(1+'Dane wejściowe'!B19/100))*'Dane wejściowe'!B5)</f>
        <v/>
      </c>
      <c r="D21" s="26">
        <f>IFERROR((('Dane wejściowe'!B6*('Dane wejściowe'!B22*(1-('Dane wejściowe'!B7/100))+'Dane wejściowe'!B23*('Dane wejściowe'!B7/100))*(1+(('Dane wejściowe'!B8/200000)-1)*'Dane wejściowe'!B24)*(1+'Dane wejściowe'!B19/100))*'Dane wejściowe'!B5)/((('Dane wejściowe'!B6*('Dane wejściowe'!B22*(1-('Dane wejściowe'!B7/100))+'Dane wejściowe'!B23*('Dane wejściowe'!B7/100))*(1+(('Dane wejściowe'!B8/200000)-1)*'Dane wejściowe'!B24)*(1+'Dane wejściowe'!B19/100))*'Dane wejściowe'!B5))*100,0)</f>
        <v/>
      </c>
    </row>
    <row r="22" ht="19" customHeight="1">
      <c r="A22" s="27" t="inlineStr">
        <is>
          <t>📉 Wypłata kierowców</t>
        </is>
      </c>
      <c r="B22" s="16">
        <f>'Dane wejściowe'!B5 aut × payout/auto</f>
        <v/>
      </c>
      <c r="C22" s="28">
        <f>-('Dane wejściowe'!B6*('Dane wejściowe'!B12*(1-('Dane wejściowe'!B7/100))+'Dane wejściowe'!B13*('Dane wejściowe'!B7/100))*(1+(('Dane wejściowe'!B8/200000)-1)*'Dane wejściowe'!B24)*'Dane wejściowe'!B14)*'Dane wejściowe'!B5</f>
        <v/>
      </c>
      <c r="D22" s="29">
        <f>IFERROR(-('Dane wejściowe'!B6*('Dane wejściowe'!B12*(1-('Dane wejściowe'!B7/100))+'Dane wejściowe'!B13*('Dane wejściowe'!B7/100))*(1+(('Dane wejściowe'!B8/200000)-1)*'Dane wejściowe'!B24)*'Dane wejściowe'!B14)*'Dane wejściowe'!B5/((('Dane wejściowe'!B6*('Dane wejściowe'!B22*(1-('Dane wejściowe'!B7/100))+'Dane wejściowe'!B23*('Dane wejściowe'!B7/100))*(1+(('Dane wejściowe'!B8/200000)-1)*'Dane wejściowe'!B24)*(1+'Dane wejściowe'!B19/100))*'Dane wejściowe'!B5))*100,0)</f>
        <v/>
      </c>
    </row>
    <row r="23" ht="19" customHeight="1">
      <c r="A23" s="27" t="inlineStr">
        <is>
          <t>📉 Oklejenie (amort.)</t>
        </is>
      </c>
      <c r="B23" s="16">
        <f>'Dane wejściowe'!B5 aut × wrapCost/months</f>
        <v/>
      </c>
      <c r="C23" s="28">
        <f>-('Dane wejściowe'!B17/MAX('Dane wejściowe'!B9,12))*'Dane wejściowe'!B5</f>
        <v/>
      </c>
      <c r="D23" s="29">
        <f>IFERROR(-('Dane wejściowe'!B17/MAX('Dane wejściowe'!B9,12))*'Dane wejściowe'!B5/((('Dane wejściowe'!B6*('Dane wejściowe'!B22*(1-('Dane wejściowe'!B7/100))+'Dane wejściowe'!B23*('Dane wejściowe'!B7/100))*(1+(('Dane wejściowe'!B8/200000)-1)*'Dane wejściowe'!B24)*(1+'Dane wejściowe'!B19/100))*'Dane wejściowe'!B5))*100,0)</f>
        <v/>
      </c>
    </row>
    <row r="24" ht="19" customHeight="1">
      <c r="A24" s="27" t="inlineStr">
        <is>
          <t>📉 Demontaż (amort.)</t>
        </is>
      </c>
      <c r="B24" s="16">
        <f>'Dane wejściowe'!B5 aut × unwrapCost/months</f>
        <v/>
      </c>
      <c r="C24" s="28">
        <f>-('Dane wejściowe'!B18/MAX('Dane wejściowe'!B9,12))*'Dane wejściowe'!B5</f>
        <v/>
      </c>
      <c r="D24" s="29">
        <f>IFERROR(-('Dane wejściowe'!B18/MAX('Dane wejściowe'!B9,12))*'Dane wejściowe'!B5/((('Dane wejściowe'!B6*('Dane wejściowe'!B22*(1-('Dane wejściowe'!B7/100))+'Dane wejściowe'!B23*('Dane wejściowe'!B7/100))*(1+(('Dane wejściowe'!B8/200000)-1)*'Dane wejściowe'!B24)*(1+'Dane wejściowe'!B19/100))*'Dane wejściowe'!B5))*100,0)</f>
        <v/>
      </c>
    </row>
    <row r="25" ht="19" customHeight="1">
      <c r="A25" s="27" t="inlineStr">
        <is>
          <t>📉 Koszty ops. platformy</t>
        </is>
      </c>
      <c r="B25" s="16" t="inlineStr">
        <is>
          <t>stały / mies.</t>
        </is>
      </c>
      <c r="C25" s="28">
        <f>-'Dane wejściowe'!B29</f>
        <v/>
      </c>
      <c r="D25" s="29">
        <f>IFERROR(-'Dane wejściowe'!B29/((('Dane wejściowe'!B6*('Dane wejściowe'!B22*(1-('Dane wejściowe'!B7/100))+'Dane wejściowe'!B23*('Dane wejściowe'!B7/100))*(1+(('Dane wejściowe'!B8/200000)-1)*'Dane wejściowe'!B24)*(1+'Dane wejściowe'!B19/100))*'Dane wejściowe'!B5))*100,0)</f>
        <v/>
      </c>
    </row>
    <row r="26" ht="24" customHeight="1">
      <c r="A26" s="30" t="inlineStr">
        <is>
          <t>✅ ZYSK OPERACYJNY / mies.</t>
        </is>
      </c>
      <c r="B26" s="31" t="inlineStr">
        <is>
          <t>bez kosztu prawnego (jednorazowy)</t>
        </is>
      </c>
      <c r="C26" s="32">
        <f>(('Dane wejściowe'!B6*('Dane wejściowe'!B22*(1-('Dane wejściowe'!B7/100))+'Dane wejściowe'!B23*('Dane wejściowe'!B7/100))*(1+(('Dane wejściowe'!B8/200000)-1)*'Dane wejściowe'!B24)*(1+'Dane wejściowe'!B19/100))*'Dane wejściowe'!B5)-(('Dane wejściowe'!B6*('Dane wejściowe'!B12*(1-('Dane wejściowe'!B7/100))+'Dane wejściowe'!B13*('Dane wejściowe'!B7/100))*(1+(('Dane wejściowe'!B8/200000)-1)*'Dane wejściowe'!B24)*'Dane wejściowe'!B14+'Dane wejściowe'!B17/MAX('Dane wejściowe'!B9,12)+'Dane wejściowe'!B18/MAX('Dane wejściowe'!B9,12))*'Dane wejściowe'!B5)-'Dane wejściowe'!B29</f>
        <v/>
      </c>
      <c r="D26" s="33">
        <f>IFERROR(((('Dane wejściowe'!B6*('Dane wejściowe'!B22*(1-('Dane wejściowe'!B7/100))+'Dane wejściowe'!B23*('Dane wejściowe'!B7/100))*(1+(('Dane wejściowe'!B8/200000)-1)*'Dane wejściowe'!B24)*(1+'Dane wejściowe'!B19/100))*'Dane wejściowe'!B5)-(('Dane wejściowe'!B6*('Dane wejściowe'!B12*(1-('Dane wejściowe'!B7/100))+'Dane wejściowe'!B13*('Dane wejściowe'!B7/100))*(1+(('Dane wejściowe'!B8/200000)-1)*'Dane wejściowe'!B24)*'Dane wejściowe'!B14+'Dane wejściowe'!B17/MAX('Dane wejściowe'!B9,12)+'Dane wejściowe'!B18/MAX('Dane wejściowe'!B9,12))*'Dane wejściowe'!B5)-'Dane wejściowe'!B29)/((('Dane wejściowe'!B6*('Dane wejściowe'!B22*(1-('Dane wejściowe'!B7/100))+'Dane wejściowe'!B23*('Dane wejściowe'!B7/100))*(1+(('Dane wejściowe'!B8/200000)-1)*'Dane wejściowe'!B24)*(1+'Dane wejściowe'!B19/100))*'Dane wejściowe'!B5))*100,0)</f>
        <v/>
      </c>
    </row>
    <row r="28" ht="20" customHeight="1">
      <c r="A28" s="51" t="inlineStr">
        <is>
          <t xml:space="preserve">  🎯 Jednorazowy koszt startu i Break-Even</t>
        </is>
      </c>
    </row>
    <row r="29" ht="18" customHeight="1">
      <c r="A29" s="4" t="inlineStr">
        <is>
          <t>Metryka</t>
        </is>
      </c>
      <c r="B29" s="4" t="inlineStr">
        <is>
          <t>Wartość</t>
        </is>
      </c>
      <c r="C29" s="4" t="inlineStr">
        <is>
          <t>Interpretacja</t>
        </is>
      </c>
      <c r="D29" s="4" t="inlineStr"/>
      <c r="E29" s="4" t="inlineStr"/>
      <c r="F29" s="4" t="inlineStr"/>
    </row>
    <row r="30" ht="22" customHeight="1">
      <c r="A30" s="5" t="inlineStr">
        <is>
          <t>Jednorazowy audyt prawny</t>
        </is>
      </c>
      <c r="B30" s="52">
        <f>'Dane wejściowe'!B28</f>
        <v/>
      </c>
      <c r="C30" s="34" t="inlineStr">
        <is>
          <t>Koszt poniesiony RAZ przy starcie — niezależny od liczby umów</t>
        </is>
      </c>
    </row>
    <row r="31" ht="22" customHeight="1">
      <c r="A31" s="5" t="inlineStr">
        <is>
          <t>Zysk operacyjny / mies.</t>
        </is>
      </c>
      <c r="B31" s="52">
        <f>((('Dane wejściowe'!B6*('Dane wejściowe'!B22*(1-('Dane wejściowe'!B7/100))+'Dane wejściowe'!B23*('Dane wejściowe'!B7/100))*(1+(('Dane wejściowe'!B8/200000)-1)*'Dane wejściowe'!B24)*(1+'Dane wejściowe'!B19/100))*'Dane wejściowe'!B5)-(('Dane wejściowe'!B6*('Dane wejściowe'!B12*(1-('Dane wejściowe'!B7/100))+'Dane wejściowe'!B13*('Dane wejściowe'!B7/100))*(1+(('Dane wejściowe'!B8/200000)-1)*'Dane wejściowe'!B24)*'Dane wejściowe'!B14+'Dane wejściowe'!B17/MAX('Dane wejściowe'!B9,12)+'Dane wejściowe'!B18/MAX('Dane wejściowe'!B9,12))*'Dane wejściowe'!B5)-'Dane wejściowe'!B29)</f>
        <v/>
      </c>
      <c r="C31" s="34" t="inlineStr">
        <is>
          <t>Miesięczna nadwyżka do spłaty startu</t>
        </is>
      </c>
    </row>
    <row r="32" ht="22" customHeight="1">
      <c r="A32" s="5" t="inlineStr">
        <is>
          <t>Miesięcy do zwrotu audytu</t>
        </is>
      </c>
      <c r="B32" s="54">
        <f>IFERROR(IF(((('Dane wejściowe'!B6*('Dane wejściowe'!B22*(1-('Dane wejściowe'!B7/100))+'Dane wejściowe'!B23*('Dane wejściowe'!B7/100))*(1+(('Dane wejściowe'!B8/200000)-1)*'Dane wejściowe'!B24)*(1+'Dane wejściowe'!B19/100))*'Dane wejściowe'!B5)-(('Dane wejściowe'!B6*('Dane wejściowe'!B12*(1-('Dane wejściowe'!B7/100))+'Dane wejściowe'!B13*('Dane wejściowe'!B7/100))*(1+(('Dane wejściowe'!B8/200000)-1)*'Dane wejściowe'!B24)*'Dane wejściowe'!B14+'Dane wejściowe'!B17/MAX('Dane wejściowe'!B9,12)+'Dane wejściowe'!B18/MAX('Dane wejściowe'!B9,12))*'Dane wejściowe'!B5)-'Dane wejściowe'!B29)&gt;0,'Dane wejściowe'!B28/((('Dane wejściowe'!B6*('Dane wejściowe'!B22*(1-('Dane wejściowe'!B7/100))+'Dane wejściowe'!B23*('Dane wejściowe'!B7/100))*(1+(('Dane wejściowe'!B8/200000)-1)*'Dane wejściowe'!B24)*(1+'Dane wejściowe'!B19/100))*'Dane wejściowe'!B5)-(('Dane wejściowe'!B6*('Dane wejściowe'!B12*(1-('Dane wejściowe'!B7/100))+'Dane wejściowe'!B13*('Dane wejściowe'!B7/100))*(1+(('Dane wejściowe'!B8/200000)-1)*'Dane wejściowe'!B24)*'Dane wejściowe'!B14+'Dane wejściowe'!B17/MAX('Dane wejściowe'!B9,12)+'Dane wejściowe'!B18/MAX('Dane wejściowe'!B9,12))*'Dane wejściowe'!B5)-'Dane wejściowe'!B29),"N/A"),"N/A")</f>
        <v/>
      </c>
      <c r="C32" s="34">
        <f> audyt prawny ÷ zysk operacyjny / mies. (przy 'Dane wejściowe'!B5 autach)</f>
        <v/>
      </c>
    </row>
    <row r="33" ht="22" customHeight="1">
      <c r="A33" s="5" t="inlineStr">
        <is>
          <t>Pokrycie kosztów stałych</t>
        </is>
      </c>
      <c r="B33" s="55">
        <f>IFERROR('Dane wejściowe'!B29/(('Dane wejściowe'!B6*('Dane wejściowe'!B22*(1-('Dane wejściowe'!B7/100))+'Dane wejściowe'!B23*('Dane wejściowe'!B7/100))*(1+(('Dane wejściowe'!B8/200000)-1)*'Dane wejściowe'!B24)*(1+'Dane wejściowe'!B19/100))*'Dane wejściowe'!B5)-(('Dane wejściowe'!B6*('Dane wejściowe'!B12*(1-('Dane wejściowe'!B7/100))+'Dane wejściowe'!B13*('Dane wejściowe'!B7/100))*(1+(('Dane wejściowe'!B8/200000)-1)*'Dane wejściowe'!B24)*'Dane wejściowe'!B14+'Dane wejściowe'!B17/MAX('Dane wejściowe'!B9,12)+'Dane wejściowe'!B18/MAX('Dane wejściowe'!B9,12))*'Dane wejściowe'!B5),"N/A")</f>
        <v/>
      </c>
      <c r="C33" s="34" t="inlineStr">
        <is>
          <t>% zysku brutto zajęty przez ops (&lt; 1 = opłacalne operacyjnie)</t>
        </is>
      </c>
    </row>
    <row r="35" ht="20" customHeight="1">
      <c r="A35" s="51" t="inlineStr">
        <is>
          <t xml:space="preserve">  💼 Całkowity koszt reklamodawcy (za kampanię)</t>
        </is>
      </c>
    </row>
    <row r="36" ht="18" customHeight="1">
      <c r="A36" s="4" t="inlineStr">
        <is>
          <t>Składnik</t>
        </is>
      </c>
      <c r="B36" s="4" t="inlineStr">
        <is>
          <t>Wzór</t>
        </is>
      </c>
      <c r="C36" s="4" t="inlineStr">
        <is>
          <t>Łącznie</t>
        </is>
      </c>
      <c r="D36" s="4" t="inlineStr">
        <is>
          <t>/ auto</t>
        </is>
      </c>
      <c r="E36" s="4" t="inlineStr">
        <is>
          <t>/ auto / mies.</t>
        </is>
      </c>
      <c r="F36" s="4" t="inlineStr"/>
    </row>
    <row r="37">
      <c r="A37" s="5" t="inlineStr">
        <is>
          <t>Opłata platformy AdRide</t>
        </is>
      </c>
      <c r="B37" s="16" t="inlineStr">
        <is>
          <t>rev/auto × N × months</t>
        </is>
      </c>
      <c r="C37" s="37">
        <f>('Dane wejściowe'!B6*('Dane wejściowe'!B22*(1-('Dane wejściowe'!B7/100))+'Dane wejściowe'!B23*('Dane wejściowe'!B7/100))*(1+(('Dane wejściowe'!B8/200000)-1)*'Dane wejściowe'!B24)*(1+'Dane wejściowe'!B19/100))*'Dane wejściowe'!B5*'Dane wejściowe'!B9</f>
        <v/>
      </c>
      <c r="D37" s="38">
        <f>('Dane wejściowe'!B6*('Dane wejściowe'!B22*(1-('Dane wejściowe'!B7/100))+'Dane wejściowe'!B23*('Dane wejściowe'!B7/100))*(1+(('Dane wejściowe'!B8/200000)-1)*'Dane wejściowe'!B24)*(1+'Dane wejściowe'!B19/100))*'Dane wejściowe'!B9</f>
        <v/>
      </c>
      <c r="E37" s="38">
        <f>'Dane wejściowe'!B6*('Dane wejściowe'!B22*(1-('Dane wejściowe'!B7/100))+'Dane wejściowe'!B23*('Dane wejściowe'!B7/100))*(1+(('Dane wejściowe'!B8/200000)-1)*'Dane wejściowe'!B24)*(1+'Dane wejściowe'!B19/100)</f>
        <v/>
      </c>
      <c r="F37" s="9" t="inlineStr"/>
    </row>
    <row r="38">
      <c r="A38" s="5" t="inlineStr">
        <is>
          <t>Koszt oklejenia + demontażu</t>
        </is>
      </c>
      <c r="B38" s="56" t="inlineStr">
        <is>
          <t>Absorbowany w marży AdRide</t>
        </is>
      </c>
      <c r="C38" s="46" t="n">
        <v>0</v>
      </c>
      <c r="D38" s="46" t="n">
        <v>0</v>
      </c>
      <c r="E38" s="46" t="n">
        <v>0</v>
      </c>
      <c r="F38" s="57" t="inlineStr">
        <is>
          <t>✅ Wliczone w usługę</t>
        </is>
      </c>
    </row>
    <row r="39" ht="22" customHeight="1">
      <c r="A39" s="30" t="inlineStr">
        <is>
          <t>💰 ŁĄCZNY KOSZT REKLAMODAWCY</t>
        </is>
      </c>
      <c r="B39" s="43" t="inlineStr"/>
      <c r="C39" s="44">
        <f>('Dane wejściowe'!B6*('Dane wejściowe'!B22*(1-('Dane wejściowe'!B7/100))+'Dane wejściowe'!B23*('Dane wejściowe'!B7/100))*(1+(('Dane wejściowe'!B8/200000)-1)*'Dane wejściowe'!B24)*(1+'Dane wejściowe'!B19/100))*'Dane wejściowe'!B5*'Dane wejściowe'!B9</f>
        <v/>
      </c>
      <c r="D39" s="45">
        <f>(('Dane wejściowe'!B6*('Dane wejściowe'!B22*(1-('Dane wejściowe'!B7/100))+'Dane wejściowe'!B23*('Dane wejściowe'!B7/100))*(1+(('Dane wejściowe'!B8/200000)-1)*'Dane wejściowe'!B24)*(1+'Dane wejściowe'!B19/100))*'Dane wejściowe'!B5*'Dane wejściowe'!B9)/'Dane wejściowe'!B5</f>
        <v/>
      </c>
      <c r="E39" s="45">
        <f>(('Dane wejściowe'!B6*('Dane wejściowe'!B22*(1-('Dane wejściowe'!B7/100))+'Dane wejściowe'!B23*('Dane wejściowe'!B7/100))*(1+(('Dane wejściowe'!B8/200000)-1)*'Dane wejściowe'!B24)*(1+'Dane wejściowe'!B19/100))*'Dane wejściowe'!B5*'Dane wejściowe'!B9)/('Dane wejściowe'!B5*'Dane wejściowe'!B9)</f>
        <v/>
      </c>
      <c r="F39" s="43" t="inlineStr"/>
    </row>
    <row r="41" ht="20" customHeight="1">
      <c r="A41" s="51" t="inlineStr">
        <is>
          <t xml:space="preserve">  🔍 P&amp;L na jedno auto / mies.</t>
        </is>
      </c>
    </row>
    <row r="42" ht="18" customHeight="1">
      <c r="A42" s="4" t="inlineStr">
        <is>
          <t>Pozycja</t>
        </is>
      </c>
      <c r="B42" s="4" t="inlineStr">
        <is>
          <t>Kwota / auto</t>
        </is>
      </c>
      <c r="C42" s="4" t="inlineStr"/>
      <c r="D42" s="4" t="inlineStr"/>
      <c r="E42" s="4" t="inlineStr"/>
      <c r="F42" s="4" t="inlineStr"/>
    </row>
    <row r="43" ht="18" customHeight="1">
      <c r="A43" s="24" t="inlineStr">
        <is>
          <t>Przychód (fee platformy)</t>
        </is>
      </c>
      <c r="B43" s="46">
        <f>'Dane wejściowe'!B6*('Dane wejściowe'!B22*(1-('Dane wejściowe'!B7/100))+'Dane wejściowe'!B23*('Dane wejściowe'!B7/100))*(1+(('Dane wejściowe'!B8/200000)-1)*'Dane wejściowe'!B24)*(1+'Dane wejściowe'!B19/100)</f>
        <v/>
      </c>
    </row>
    <row r="44" ht="18" customHeight="1">
      <c r="A44" s="27" t="inlineStr">
        <is>
          <t>Wypłata kierowcy</t>
        </is>
      </c>
      <c r="B44" s="47">
        <f>-('Dane wejściowe'!B6*('Dane wejściowe'!B12*(1-('Dane wejściowe'!B7/100))+'Dane wejściowe'!B13*('Dane wejściowe'!B7/100))*(1+(('Dane wejściowe'!B8/200000)-1)*'Dane wejściowe'!B24)*'Dane wejściowe'!B14)</f>
        <v/>
      </c>
    </row>
    <row r="45" ht="18" customHeight="1">
      <c r="A45" s="27" t="inlineStr">
        <is>
          <t>Oklejenie (amort.)</t>
        </is>
      </c>
      <c r="B45" s="47">
        <f>-('Dane wejściowe'!B17/MAX('Dane wejściowe'!B9,12))</f>
        <v/>
      </c>
    </row>
    <row r="46" ht="18" customHeight="1">
      <c r="A46" s="27" t="inlineStr">
        <is>
          <t>Demontaż (amort.)</t>
        </is>
      </c>
      <c r="B46" s="47">
        <f>-('Dane wejściowe'!B18/MAX('Dane wejściowe'!B9,12))</f>
        <v/>
      </c>
    </row>
    <row r="47" ht="20" customHeight="1">
      <c r="A47" s="58" t="inlineStr">
        <is>
          <t>Marża brutto</t>
        </is>
      </c>
      <c r="B47" s="52">
        <f>('Dane wejściowe'!B6*('Dane wejściowe'!B22*(1-('Dane wejściowe'!B7/100))+'Dane wejściowe'!B23*('Dane wejściowe'!B7/100))*(1+(('Dane wejściowe'!B8/200000)-1)*'Dane wejściowe'!B24)*(1+'Dane wejściowe'!B19/100))-('Dane wejściowe'!B6*('Dane wejściowe'!B12*(1-('Dane wejściowe'!B7/100))+'Dane wejściowe'!B13*('Dane wejściowe'!B7/100))*(1+(('Dane wejściowe'!B8/200000)-1)*'Dane wejściowe'!B24)*'Dane wejściowe'!B14+'Dane wejściowe'!B17/MAX('Dane wejściowe'!B9,12)+'Dane wejściowe'!B18/MAX('Dane wejściowe'!B9,12))</f>
        <v/>
      </c>
    </row>
    <row r="48" ht="18" customHeight="1">
      <c r="A48" s="27" t="inlineStr">
        <is>
          <t>Ops. platforma / auto</t>
        </is>
      </c>
      <c r="B48" s="47">
        <f>-'Dane wejściowe'!B29/'Dane wejściowe'!B5</f>
        <v/>
      </c>
    </row>
    <row r="49" ht="20" customHeight="1">
      <c r="A49" s="5" t="inlineStr">
        <is>
          <t>Marża operacyjna netto / auto</t>
        </is>
      </c>
      <c r="B49" s="49">
        <f>((('Dane wejściowe'!B6*('Dane wejściowe'!B22*(1-('Dane wejściowe'!B7/100))+'Dane wejściowe'!B23*('Dane wejściowe'!B7/100))*(1+(('Dane wejściowe'!B8/200000)-1)*'Dane wejściowe'!B24)*(1+'Dane wejściowe'!B19/100))*'Dane wejściowe'!B5)-(('Dane wejściowe'!B6*('Dane wejściowe'!B12*(1-('Dane wejściowe'!B7/100))+'Dane wejściowe'!B13*('Dane wejściowe'!B7/100))*(1+(('Dane wejściowe'!B8/200000)-1)*'Dane wejściowe'!B24)*'Dane wejściowe'!B14+'Dane wejściowe'!B17/MAX('Dane wejściowe'!B9,12)+'Dane wejściowe'!B18/MAX('Dane wejściowe'!B9,12))*'Dane wejściowe'!B5)-'Dane wejściowe'!B29)/'Dane wejściowe'!B5</f>
        <v/>
      </c>
    </row>
  </sheetData>
  <mergeCells count="36">
    <mergeCell ref="A41:F41"/>
    <mergeCell ref="D11:F11"/>
    <mergeCell ref="D13:F13"/>
    <mergeCell ref="C48:F48"/>
    <mergeCell ref="E24:F24"/>
    <mergeCell ref="D32:F32"/>
    <mergeCell ref="E23:F23"/>
    <mergeCell ref="D17:F17"/>
    <mergeCell ref="D7:F7"/>
    <mergeCell ref="D16:F16"/>
    <mergeCell ref="A2:F2"/>
    <mergeCell ref="C49:F49"/>
    <mergeCell ref="D12:F12"/>
    <mergeCell ref="D9:F9"/>
    <mergeCell ref="A35:F35"/>
    <mergeCell ref="A4:F4"/>
    <mergeCell ref="D30:F30"/>
    <mergeCell ref="D8:F8"/>
    <mergeCell ref="D15:F15"/>
    <mergeCell ref="D33:F33"/>
    <mergeCell ref="D14:F14"/>
    <mergeCell ref="A28:F28"/>
    <mergeCell ref="C45:F45"/>
    <mergeCell ref="A19:F19"/>
    <mergeCell ref="C47:F47"/>
    <mergeCell ref="E26:F26"/>
    <mergeCell ref="C44:F44"/>
    <mergeCell ref="D10:F10"/>
    <mergeCell ref="E25:F25"/>
    <mergeCell ref="D31:F31"/>
    <mergeCell ref="A1:F1"/>
    <mergeCell ref="C43:F43"/>
    <mergeCell ref="C46:F46"/>
    <mergeCell ref="E22:F22"/>
    <mergeCell ref="D6:F6"/>
    <mergeCell ref="E21:F2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  <col width="30" customWidth="1" min="4" max="4"/>
  </cols>
  <sheetData>
    <row r="1" ht="30" customHeight="1">
      <c r="A1" s="13" t="inlineStr">
        <is>
          <t>AdRide — Porównanie: Subskrypcyjny vs Abonamentowy</t>
        </is>
      </c>
    </row>
    <row r="2" ht="32" customHeight="1">
      <c r="A2" s="59" t="inlineStr">
        <is>
          <t>Metryka</t>
        </is>
      </c>
      <c r="B2" s="59" t="inlineStr">
        <is>
          <t>Subskrypcyjny
(reklamodawca org. oklejenie)</t>
        </is>
      </c>
      <c r="C2" s="59" t="inlineStr">
        <is>
          <t>Abonamentowy
(AdRide org. oklejenie)</t>
        </is>
      </c>
      <c r="D2" s="59" t="inlineStr">
        <is>
          <t>Uwagi</t>
        </is>
      </c>
    </row>
    <row r="3" ht="20" customHeight="1">
      <c r="A3" s="3" t="inlineStr">
        <is>
          <t xml:space="preserve">  PRZYCHODY ADRIDE</t>
        </is>
      </c>
    </row>
    <row r="4" ht="20" customHeight="1">
      <c r="A4" s="5" t="inlineStr">
        <is>
          <t>Przychód / auto / mies.</t>
        </is>
      </c>
      <c r="B4" s="22">
        <f>'Dane wejściowe'!B6*('Dane wejściowe'!B22*(1-('Dane wejściowe'!B7/100))+'Dane wejściowe'!B23*('Dane wejściowe'!B7/100))*(1+(('Dane wejściowe'!B8/200000)-1)*'Dane wejściowe'!B24)</f>
        <v/>
      </c>
      <c r="C4" s="52">
        <f>'Dane wejściowe'!B6*('Dane wejściowe'!B22*(1-('Dane wejściowe'!B7/100))+'Dane wejściowe'!B23*('Dane wejściowe'!B7/100))*(1+(('Dane wejściowe'!B8/200000)-1)*'Dane wejściowe'!B24)*(1+'Dane wejściowe'!B19/100)</f>
        <v/>
      </c>
      <c r="D4" s="34" t="inlineStr">
        <is>
          <t>ABO: +narzut</t>
        </is>
      </c>
    </row>
    <row r="5" ht="20" customHeight="1">
      <c r="A5" s="5" t="inlineStr">
        <is>
          <t>Przychód łącznie / mies.</t>
        </is>
      </c>
      <c r="B5" s="22">
        <f>('Dane wejściowe'!B6*('Dane wejściowe'!B22*(1-('Dane wejściowe'!B7/100))+'Dane wejściowe'!B23*('Dane wejściowe'!B7/100))*(1+(('Dane wejściowe'!B8/200000)-1)*'Dane wejściowe'!B24))*'Dane wejściowe'!B5</f>
        <v/>
      </c>
      <c r="C5" s="52">
        <f>('Dane wejściowe'!B6*('Dane wejściowe'!B22*(1-('Dane wejściowe'!B7/100))+'Dane wejściowe'!B23*('Dane wejściowe'!B7/100))*(1+(('Dane wejściowe'!B8/200000)-1)*'Dane wejściowe'!B24)*(1+'Dane wejściowe'!B19/100))*'Dane wejściowe'!B5</f>
        <v/>
      </c>
      <c r="D5" s="34" t="inlineStr">
        <is>
          <t>ABO wyższy o narzut</t>
        </is>
      </c>
    </row>
    <row r="6" ht="20" customHeight="1">
      <c r="A6" s="3" t="inlineStr">
        <is>
          <t xml:space="preserve">  KOSZTY ADRIDE</t>
        </is>
      </c>
    </row>
    <row r="7" ht="20" customHeight="1">
      <c r="A7" s="5" t="inlineStr">
        <is>
          <t>Payout kierowcy / auto</t>
        </is>
      </c>
      <c r="B7" s="22">
        <f>'Dane wejściowe'!B6*('Dane wejściowe'!B12*(1-('Dane wejściowe'!B7/100))+'Dane wejściowe'!B13*('Dane wejściowe'!B7/100))*(1+(('Dane wejściowe'!B8/200000)-1)*'Dane wejściowe'!B24)*'Dane wejściowe'!B14</f>
        <v/>
      </c>
      <c r="C7" s="52">
        <f>'Dane wejściowe'!B6*('Dane wejściowe'!B12*(1-('Dane wejściowe'!B7/100))+'Dane wejściowe'!B13*('Dane wejściowe'!B7/100))*(1+(('Dane wejściowe'!B8/200000)-1)*'Dane wejściowe'!B24)*'Dane wejściowe'!B14</f>
        <v/>
      </c>
      <c r="D7" s="34" t="inlineStr">
        <is>
          <t>Identyczny</t>
        </is>
      </c>
    </row>
    <row r="8" ht="20" customHeight="1">
      <c r="A8" s="5" t="inlineStr">
        <is>
          <t>Koszt oklejenia / auto / mies.</t>
        </is>
      </c>
      <c r="B8" s="60" t="inlineStr">
        <is>
          <t>0 zł</t>
        </is>
      </c>
      <c r="C8" s="52">
        <f>'Dane wejściowe'!B17/MAX('Dane wejściowe'!B9,12)</f>
        <v/>
      </c>
      <c r="D8" s="34" t="inlineStr">
        <is>
          <t>Abo: amortyzowane</t>
        </is>
      </c>
    </row>
    <row r="9" ht="20" customHeight="1">
      <c r="A9" s="5" t="inlineStr">
        <is>
          <t>Koszt demontażu / auto / mies.</t>
        </is>
      </c>
      <c r="B9" s="60" t="inlineStr">
        <is>
          <t>0 zł</t>
        </is>
      </c>
      <c r="C9" s="52">
        <f>'Dane wejściowe'!B18/MAX('Dane wejściowe'!B9,12)</f>
        <v/>
      </c>
      <c r="D9" s="34" t="inlineStr">
        <is>
          <t>Abo: amortyzowane</t>
        </is>
      </c>
    </row>
    <row r="10" ht="20" customHeight="1">
      <c r="A10" s="5" t="inlineStr">
        <is>
          <t>Koszt zmienny / auto</t>
        </is>
      </c>
      <c r="B10" s="22">
        <f>'Dane wejściowe'!B6*('Dane wejściowe'!B12*(1-('Dane wejściowe'!B7/100))+'Dane wejściowe'!B13*('Dane wejściowe'!B7/100))*(1+(('Dane wejściowe'!B8/200000)-1)*'Dane wejściowe'!B24)*'Dane wejściowe'!B14</f>
        <v/>
      </c>
      <c r="C10" s="52">
        <f>'Dane wejściowe'!B6*('Dane wejściowe'!B12*(1-('Dane wejściowe'!B7/100))+'Dane wejściowe'!B13*('Dane wejściowe'!B7/100))*(1+(('Dane wejściowe'!B8/200000)-1)*'Dane wejściowe'!B24)*'Dane wejściowe'!B14+'Dane wejściowe'!B17/MAX('Dane wejściowe'!B9,12)+'Dane wejściowe'!B18/MAX('Dane wejściowe'!B9,12)</f>
        <v/>
      </c>
      <c r="D10" s="34" t="inlineStr">
        <is>
          <t>Abo wyższy</t>
        </is>
      </c>
    </row>
    <row r="11" ht="20" customHeight="1">
      <c r="A11" s="3" t="inlineStr">
        <is>
          <t xml:space="preserve">  MARŻE ADRIDE (miesięczne)</t>
        </is>
      </c>
    </row>
    <row r="12" ht="20" customHeight="1">
      <c r="A12" s="5" t="inlineStr">
        <is>
          <t>Marża brutto / auto</t>
        </is>
      </c>
      <c r="B12" s="22">
        <f>('Dane wejściowe'!B6*('Dane wejściowe'!B22*(1-('Dane wejściowe'!B7/100))+'Dane wejściowe'!B23*('Dane wejściowe'!B7/100))*(1+(('Dane wejściowe'!B8/200000)-1)*'Dane wejściowe'!B24))-('Dane wejściowe'!B6*('Dane wejściowe'!B12*(1-('Dane wejściowe'!B7/100))+'Dane wejściowe'!B13*('Dane wejściowe'!B7/100))*(1+(('Dane wejściowe'!B8/200000)-1)*'Dane wejściowe'!B24)*'Dane wejściowe'!B14)</f>
        <v/>
      </c>
      <c r="C12" s="52">
        <f>('Dane wejściowe'!B6*('Dane wejściowe'!B22*(1-('Dane wejściowe'!B7/100))+'Dane wejściowe'!B23*('Dane wejściowe'!B7/100))*(1+(('Dane wejściowe'!B8/200000)-1)*'Dane wejściowe'!B24)*(1+'Dane wejściowe'!B19/100))-('Dane wejściowe'!B6*('Dane wejściowe'!B12*(1-('Dane wejściowe'!B7/100))+'Dane wejściowe'!B13*('Dane wejściowe'!B7/100))*(1+(('Dane wejściowe'!B8/200000)-1)*'Dane wejściowe'!B24)*'Dane wejściowe'!B14+'Dane wejściowe'!B17/MAX('Dane wejściowe'!B9,12)+'Dane wejściowe'!B18/MAX('Dane wejściowe'!B9,12))</f>
        <v/>
      </c>
      <c r="D12" s="34" t="inlineStr">
        <is>
          <t>Sub wyższa o koszt oklejenia</t>
        </is>
      </c>
    </row>
    <row r="13" ht="20" customHeight="1">
      <c r="A13" s="5" t="inlineStr">
        <is>
          <t>Marża brutto %</t>
        </is>
      </c>
      <c r="B13" s="23">
        <f>IFERROR((('Dane wejściowe'!B6*('Dane wejściowe'!B22*(1-('Dane wejściowe'!B7/100))+'Dane wejściowe'!B23*('Dane wejściowe'!B7/100))*(1+(('Dane wejściowe'!B8/200000)-1)*'Dane wejściowe'!B24))-('Dane wejściowe'!B6*('Dane wejściowe'!B12*(1-('Dane wejściowe'!B7/100))+'Dane wejściowe'!B13*('Dane wejściowe'!B7/100))*(1+(('Dane wejściowe'!B8/200000)-1)*'Dane wejściowe'!B24)*'Dane wejściowe'!B14))/('Dane wejściowe'!B6*('Dane wejściowe'!B22*(1-('Dane wejściowe'!B7/100))+'Dane wejściowe'!B23*('Dane wejściowe'!B7/100))*(1+(('Dane wejściowe'!B8/200000)-1)*'Dane wejściowe'!B24))*100,0)</f>
        <v/>
      </c>
      <c r="C13" s="53">
        <f>IFERROR((('Dane wejściowe'!B6*('Dane wejściowe'!B22*(1-('Dane wejściowe'!B7/100))+'Dane wejściowe'!B23*('Dane wejściowe'!B7/100))*(1+(('Dane wejściowe'!B8/200000)-1)*'Dane wejściowe'!B24)*(1+'Dane wejściowe'!B19/100))-('Dane wejściowe'!B6*('Dane wejściowe'!B12*(1-('Dane wejściowe'!B7/100))+'Dane wejściowe'!B13*('Dane wejściowe'!B7/100))*(1+(('Dane wejściowe'!B8/200000)-1)*'Dane wejściowe'!B24)*'Dane wejściowe'!B14+'Dane wejściowe'!B17/MAX('Dane wejściowe'!B9,12)+'Dane wejściowe'!B18/MAX('Dane wejściowe'!B9,12)))/('Dane wejściowe'!B6*('Dane wejściowe'!B22*(1-('Dane wejściowe'!B7/100))+'Dane wejściowe'!B23*('Dane wejściowe'!B7/100))*(1+(('Dane wejściowe'!B8/200000)-1)*'Dane wejściowe'!B24)*(1+'Dane wejściowe'!B19/100))*100,0)</f>
        <v/>
      </c>
      <c r="D13" s="34" t="inlineStr">
        <is>
          <t>%</t>
        </is>
      </c>
    </row>
    <row r="14" ht="20" customHeight="1">
      <c r="A14" s="5" t="inlineStr">
        <is>
          <t>Zysk operacyjny / mies.</t>
        </is>
      </c>
      <c r="B14" s="22">
        <f>(('Dane wejściowe'!B6*('Dane wejściowe'!B22*(1-('Dane wejściowe'!B7/100))+'Dane wejściowe'!B23*('Dane wejściowe'!B7/100))*(1+(('Dane wejściowe'!B8/200000)-1)*'Dane wejściowe'!B24))*'Dane wejściowe'!B5)-(('Dane wejściowe'!B6*('Dane wejściowe'!B12*(1-('Dane wejściowe'!B7/100))+'Dane wejściowe'!B13*('Dane wejściowe'!B7/100))*(1+(('Dane wejściowe'!B8/200000)-1)*'Dane wejściowe'!B24)*'Dane wejściowe'!B14)*'Dane wejściowe'!B5)-'Dane wejściowe'!B29</f>
        <v/>
      </c>
      <c r="C14" s="52">
        <f>(('Dane wejściowe'!B6*('Dane wejściowe'!B22*(1-('Dane wejściowe'!B7/100))+'Dane wejściowe'!B23*('Dane wejściowe'!B7/100))*(1+(('Dane wejściowe'!B8/200000)-1)*'Dane wejściowe'!B24)*(1+'Dane wejściowe'!B19/100))*'Dane wejściowe'!B5)-(('Dane wejściowe'!B6*('Dane wejściowe'!B12*(1-('Dane wejściowe'!B7/100))+'Dane wejściowe'!B13*('Dane wejściowe'!B7/100))*(1+(('Dane wejściowe'!B8/200000)-1)*'Dane wejściowe'!B24)*'Dane wejściowe'!B14+'Dane wejściowe'!B17/MAX('Dane wejściowe'!B9,12)+'Dane wejściowe'!B18/MAX('Dane wejściowe'!B9,12))*'Dane wejściowe'!B5)-'Dane wejściowe'!B29</f>
        <v/>
      </c>
      <c r="D14" s="34" t="inlineStr">
        <is>
          <t>Bez kosztu prawnego</t>
        </is>
      </c>
    </row>
    <row r="15" ht="20" customHeight="1">
      <c r="A15" s="3" t="inlineStr">
        <is>
          <t xml:space="preserve">  KOSZT JEDNORAZOWY (niezależny od modelu)</t>
        </is>
      </c>
    </row>
    <row r="16" ht="20" customHeight="1">
      <c r="A16" s="5" t="inlineStr">
        <is>
          <t>Audyt prawny (jednorazowo)</t>
        </is>
      </c>
      <c r="B16" s="22">
        <f>'Dane wejściowe'!B28</f>
        <v/>
      </c>
      <c r="C16" s="52">
        <f>'Dane wejściowe'!B28</f>
        <v/>
      </c>
      <c r="D16" s="34" t="inlineStr">
        <is>
          <t>Płacony raz — niezależnie od liczby klientów</t>
        </is>
      </c>
    </row>
    <row r="17" ht="20" customHeight="1">
      <c r="A17" s="5" t="inlineStr">
        <is>
          <t>Mies. do zwrotu audytu</t>
        </is>
      </c>
      <c r="B17" s="22">
        <f>IFERROR(IF(((('Dane wejściowe'!B6*('Dane wejściowe'!B22*(1-('Dane wejściowe'!B7/100))+'Dane wejściowe'!B23*('Dane wejściowe'!B7/100))*(1+(('Dane wejściowe'!B8/200000)-1)*'Dane wejściowe'!B24))*'Dane wejściowe'!B5)-(('Dane wejściowe'!B6*('Dane wejściowe'!B12*(1-('Dane wejściowe'!B7/100))+'Dane wejściowe'!B13*('Dane wejściowe'!B7/100))*(1+(('Dane wejściowe'!B8/200000)-1)*'Dane wejściowe'!B24)*'Dane wejściowe'!B14)*'Dane wejściowe'!B5)-'Dane wejściowe'!B29)&gt;0,'Dane wejściowe'!B28/((('Dane wejściowe'!B6*('Dane wejściowe'!B22*(1-('Dane wejściowe'!B7/100))+'Dane wejściowe'!B23*('Dane wejściowe'!B7/100))*(1+(('Dane wejściowe'!B8/200000)-1)*'Dane wejściowe'!B24))*'Dane wejściowe'!B5)-(('Dane wejściowe'!B6*('Dane wejściowe'!B12*(1-('Dane wejściowe'!B7/100))+'Dane wejściowe'!B13*('Dane wejściowe'!B7/100))*(1+(('Dane wejściowe'!B8/200000)-1)*'Dane wejściowe'!B24)*'Dane wejściowe'!B14)*'Dane wejściowe'!B5)-'Dane wejściowe'!B29),"N/A"),"N/A")</f>
        <v/>
      </c>
      <c r="C17" s="52">
        <f>IFERROR(IF(((('Dane wejściowe'!B6*('Dane wejściowe'!B22*(1-('Dane wejściowe'!B7/100))+'Dane wejściowe'!B23*('Dane wejściowe'!B7/100))*(1+(('Dane wejściowe'!B8/200000)-1)*'Dane wejściowe'!B24)*(1+'Dane wejściowe'!B19/100))*'Dane wejściowe'!B5)-(('Dane wejściowe'!B6*('Dane wejściowe'!B12*(1-('Dane wejściowe'!B7/100))+'Dane wejściowe'!B13*('Dane wejściowe'!B7/100))*(1+(('Dane wejściowe'!B8/200000)-1)*'Dane wejściowe'!B24)*'Dane wejściowe'!B14+'Dane wejściowe'!B17/MAX('Dane wejściowe'!B9,12)+'Dane wejściowe'!B18/MAX('Dane wejściowe'!B9,12))*'Dane wejściowe'!B5)-'Dane wejściowe'!B29)&gt;0,'Dane wejściowe'!B28/((('Dane wejściowe'!B6*('Dane wejściowe'!B22*(1-('Dane wejściowe'!B7/100))+'Dane wejściowe'!B23*('Dane wejściowe'!B7/100))*(1+(('Dane wejściowe'!B8/200000)-1)*'Dane wejściowe'!B24)*(1+'Dane wejściowe'!B19/100))*'Dane wejściowe'!B5)-(('Dane wejściowe'!B6*('Dane wejściowe'!B12*(1-('Dane wejściowe'!B7/100))+'Dane wejściowe'!B13*('Dane wejściowe'!B7/100))*(1+(('Dane wejściowe'!B8/200000)-1)*'Dane wejściowe'!B24)*'Dane wejściowe'!B14+'Dane wejściowe'!B17/MAX('Dane wejściowe'!B9,12)+'Dane wejściowe'!B18/MAX('Dane wejściowe'!B9,12))*'Dane wejściowe'!B5)-'Dane wejściowe'!B29),"N/A"),"N/A")</f>
        <v/>
      </c>
      <c r="D17" s="34" t="inlineStr">
        <is>
          <t>Przy aktualnych ustawieniach</t>
        </is>
      </c>
    </row>
    <row r="18" ht="20" customHeight="1">
      <c r="A18" s="3" t="inlineStr">
        <is>
          <t xml:space="preserve">  KOSZTY REKLAMODAWCY</t>
        </is>
      </c>
    </row>
    <row r="19" ht="20" customHeight="1">
      <c r="A19" s="5" t="inlineStr">
        <is>
          <t>Opłata AdRide (łącznie)</t>
        </is>
      </c>
      <c r="B19" s="22">
        <f>('Dane wejściowe'!B6*('Dane wejściowe'!B22*(1-('Dane wejściowe'!B7/100))+'Dane wejściowe'!B23*('Dane wejściowe'!B7/100))*(1+(('Dane wejściowe'!B8/200000)-1)*'Dane wejściowe'!B24))*'Dane wejściowe'!B5*'Dane wejściowe'!B9</f>
        <v/>
      </c>
      <c r="C19" s="52">
        <f>('Dane wejściowe'!B6*('Dane wejściowe'!B22*(1-('Dane wejściowe'!B7/100))+'Dane wejściowe'!B23*('Dane wejściowe'!B7/100))*(1+(('Dane wejściowe'!B8/200000)-1)*'Dane wejściowe'!B24)*(1+'Dane wejściowe'!B19/100))*'Dane wejściowe'!B5*'Dane wejściowe'!B9</f>
        <v/>
      </c>
      <c r="D19" s="34" t="inlineStr">
        <is>
          <t>ABO wyższy o narzut</t>
        </is>
      </c>
    </row>
    <row r="20" ht="20" customHeight="1">
      <c r="A20" s="5" t="inlineStr">
        <is>
          <t>Koszt oklejenia (kto?)</t>
        </is>
      </c>
      <c r="B20" s="22">
        <f>('Dane wejściowe'!B17+'Dane wejściowe'!B18)*'Dane wejściowe'!B5</f>
        <v/>
      </c>
      <c r="C20" s="61" t="inlineStr">
        <is>
          <t>0 zł (w usłudze)</t>
        </is>
      </c>
      <c r="D20" s="34" t="inlineStr">
        <is>
          <t>Sub: reklamodawca płaci</t>
        </is>
      </c>
    </row>
    <row r="21" ht="20" customHeight="1">
      <c r="A21" s="5" t="inlineStr">
        <is>
          <t>ŁĄCZNY KOSZT REKLAMODAWCY</t>
        </is>
      </c>
      <c r="B21" s="22">
        <f>('Dane wejściowe'!B6*('Dane wejściowe'!B22*(1-('Dane wejściowe'!B7/100))+'Dane wejściowe'!B23*('Dane wejściowe'!B7/100))*(1+(('Dane wejściowe'!B8/200000)-1)*'Dane wejściowe'!B24))*'Dane wejściowe'!B5*'Dane wejściowe'!B9+('Dane wejściowe'!B17+'Dane wejściowe'!B18)*'Dane wejściowe'!B5</f>
        <v/>
      </c>
      <c r="C21" s="52">
        <f>('Dane wejściowe'!B6*('Dane wejściowe'!B22*(1-('Dane wejściowe'!B7/100))+'Dane wejściowe'!B23*('Dane wejściowe'!B7/100))*(1+(('Dane wejściowe'!B8/200000)-1)*'Dane wejściowe'!B24)*(1+'Dane wejściowe'!B19/100))*'Dane wejściowe'!B5*'Dane wejściowe'!B9</f>
        <v/>
      </c>
      <c r="D21" s="34" t="inlineStr">
        <is>
          <t>Porównaj który tańszy dla reklamodawcy</t>
        </is>
      </c>
    </row>
  </sheetData>
  <mergeCells count="6">
    <mergeCell ref="A1:D1"/>
    <mergeCell ref="A18:D18"/>
    <mergeCell ref="A6:D6"/>
    <mergeCell ref="A3:D3"/>
    <mergeCell ref="A15:D15"/>
    <mergeCell ref="A11:D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2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18" customWidth="1" min="3" max="3"/>
    <col width="14" customWidth="1" min="4" max="4"/>
    <col width="14" customWidth="1" min="5" max="5"/>
    <col width="4" customWidth="1" min="6" max="6"/>
    <col width="18" customWidth="1" min="7" max="7"/>
    <col width="14" customWidth="1" min="8" max="8"/>
    <col width="14" customWidth="1" min="9" max="9"/>
    <col width="18" customWidth="1" min="10" max="10"/>
    <col width="14" customWidth="1" min="11" max="11"/>
  </cols>
  <sheetData>
    <row r="1" ht="26" customHeight="1">
      <c r="A1" s="62" t="inlineStr">
        <is>
          <t>AdRide — Scenariusze: Wpływ liczby aut (zysk operacyjny, bez kosztu prawnego)</t>
        </is>
      </c>
    </row>
    <row r="2" ht="18" customHeight="1">
      <c r="A2" s="63" t="inlineStr">
        <is>
          <t>Aut</t>
        </is>
      </c>
      <c r="B2" s="63" t="inlineStr">
        <is>
          <t>Rev SUB/mc</t>
        </is>
      </c>
      <c r="C2" s="63" t="inlineStr">
        <is>
          <t>Zysk SUB</t>
        </is>
      </c>
      <c r="D2" s="63" t="inlineStr">
        <is>
          <t>M%SUB</t>
        </is>
      </c>
      <c r="E2" s="63" t="inlineStr">
        <is>
          <t>BEP SUB</t>
        </is>
      </c>
      <c r="F2" s="63" t="inlineStr"/>
      <c r="G2" s="63" t="inlineStr">
        <is>
          <t>Zysk ABO</t>
        </is>
      </c>
      <c r="H2" s="63" t="inlineStr">
        <is>
          <t>M%ABO</t>
        </is>
      </c>
      <c r="I2" s="63" t="inlineStr">
        <is>
          <t>BEP ABO</t>
        </is>
      </c>
      <c r="J2" s="63" t="inlineStr">
        <is>
          <t>Δ SUB−ABO</t>
        </is>
      </c>
      <c r="K2" s="63" t="inlineStr">
        <is>
          <t>Lepszy?</t>
        </is>
      </c>
    </row>
    <row r="3" ht="18" customHeight="1">
      <c r="A3" s="64" t="n">
        <v>1</v>
      </c>
      <c r="B3" s="38">
        <f>('Dane wejściowe'!B6*('Dane wejściowe'!B22*(1-('Dane wejściowe'!B7/100))+'Dane wejściowe'!B23*('Dane wejściowe'!B7/100))*(1+(('Dane wejściowe'!B8/200000)-1)*'Dane wejściowe'!B24))*1</f>
        <v/>
      </c>
      <c r="C3" s="65">
        <f>(('Dane wejściowe'!B6*('Dane wejściowe'!B22*(1-('Dane wejściowe'!B7/100))+'Dane wejściowe'!B23*('Dane wejściowe'!B7/100))*(1+(('Dane wejściowe'!B8/200000)-1)*'Dane wejściowe'!B24))*1)-(('Dane wejściowe'!B6*('Dane wejściowe'!B12*(1-('Dane wejściowe'!B7/100))+'Dane wejściowe'!B13*('Dane wejściowe'!B7/100))*(1+(('Dane wejściowe'!B8/200000)-1)*'Dane wejściowe'!B24)*'Dane wejściowe'!B14)*1)-'Dane wejściowe'!B29</f>
        <v/>
      </c>
      <c r="D3" s="66">
        <f>IFERROR(((('Dane wejściowe'!B6*('Dane wejściowe'!B22*(1-('Dane wejściowe'!B7/100))+'Dane wejściowe'!B23*('Dane wejściowe'!B7/100))*(1+(('Dane wejściowe'!B8/200000)-1)*'Dane wejściowe'!B24))*1)-(('Dane wejściowe'!B6*('Dane wejściowe'!B12*(1-('Dane wejściowe'!B7/100))+'Dane wejściowe'!B13*('Dane wejściowe'!B7/100))*(1+(('Dane wejściowe'!B8/200000)-1)*'Dane wejściowe'!B24)*'Dane wejściowe'!B14)*1)-'Dane wejściowe'!B29)/(('Dane wejściowe'!B6*('Dane wejściowe'!B22*(1-('Dane wejściowe'!B7/100))+'Dane wejściowe'!B23*('Dane wejściowe'!B7/100))*(1+(('Dane wejściowe'!B8/200000)-1)*'Dane wejściowe'!B24))*1)*100,0)</f>
        <v/>
      </c>
      <c r="E3" s="67">
        <f>IFERROR(IF(((('Dane wejściowe'!B6*('Dane wejściowe'!B22*(1-('Dane wejściowe'!B7/100))+'Dane wejściowe'!B23*('Dane wejściowe'!B7/100))*(1+(('Dane wejściowe'!B8/200000)-1)*'Dane wejściowe'!B24))*1)-(('Dane wejściowe'!B6*('Dane wejściowe'!B12*(1-('Dane wejściowe'!B7/100))+'Dane wejściowe'!B13*('Dane wejściowe'!B7/100))*(1+(('Dane wejściowe'!B8/200000)-1)*'Dane wejściowe'!B24)*'Dane wejściowe'!B14)*1)-'Dane wejściowe'!B29)&gt;0,'Dane wejściowe'!B28/((('Dane wejściowe'!B6*('Dane wejściowe'!B22*(1-('Dane wejściowe'!B7/100))+'Dane wejściowe'!B23*('Dane wejściowe'!B7/100))*(1+(('Dane wejściowe'!B8/200000)-1)*'Dane wejściowe'!B24))*1)-(('Dane wejściowe'!B6*('Dane wejściowe'!B12*(1-('Dane wejściowe'!B7/100))+'Dane wejściowe'!B13*('Dane wejściowe'!B7/100))*(1+(('Dane wejściowe'!B8/200000)-1)*'Dane wejściowe'!B24)*'Dane wejściowe'!B14)*1)-'Dane wejściowe'!B29),"N/A"),"N/A")</f>
        <v/>
      </c>
      <c r="F3" s="68" t="inlineStr"/>
      <c r="G3" s="69">
        <f>(('Dane wejściowe'!B6*('Dane wejściowe'!B22*(1-('Dane wejściowe'!B7/100))+'Dane wejściowe'!B23*('Dane wejściowe'!B7/100))*(1+(('Dane wejściowe'!B8/200000)-1)*'Dane wejściowe'!B24)*(1+'Dane wejściowe'!B19/100))*1)-(('Dane wejściowe'!B6*('Dane wejściowe'!B12*(1-('Dane wejściowe'!B7/100))+'Dane wejściowe'!B13*('Dane wejściowe'!B7/100))*(1+(('Dane wejściowe'!B8/200000)-1)*'Dane wejściowe'!B24)*'Dane wejściowe'!B14+'Dane wejściowe'!B17/MAX('Dane wejściowe'!B9,12)+'Dane wejściowe'!B18/MAX('Dane wejściowe'!B9,12))*1)-'Dane wejściowe'!B29</f>
        <v/>
      </c>
      <c r="H3" s="70">
        <f>IFERROR(((('Dane wejściowe'!B6*('Dane wejściowe'!B22*(1-('Dane wejściowe'!B7/100))+'Dane wejściowe'!B23*('Dane wejściowe'!B7/100))*(1+(('Dane wejściowe'!B8/200000)-1)*'Dane wejściowe'!B24)*(1+'Dane wejściowe'!B19/100))*1)-(('Dane wejściowe'!B6*('Dane wejściowe'!B12*(1-('Dane wejściowe'!B7/100))+'Dane wejściowe'!B13*('Dane wejściowe'!B7/100))*(1+(('Dane wejściowe'!B8/200000)-1)*'Dane wejściowe'!B24)*'Dane wejściowe'!B14+'Dane wejściowe'!B17/MAX('Dane wejściowe'!B9,12)+'Dane wejściowe'!B18/MAX('Dane wejściowe'!B9,12))*1)-'Dane wejściowe'!B29)/(('Dane wejściowe'!B6*('Dane wejściowe'!B22*(1-('Dane wejściowe'!B7/100))+'Dane wejściowe'!B23*('Dane wejściowe'!B7/100))*(1+(('Dane wejściowe'!B8/200000)-1)*'Dane wejściowe'!B24)*(1+'Dane wejściowe'!B19/100))*1)*100,0)</f>
        <v/>
      </c>
      <c r="I3" s="71">
        <f>IFERROR(IF(((('Dane wejściowe'!B6*('Dane wejściowe'!B22*(1-('Dane wejściowe'!B7/100))+'Dane wejściowe'!B23*('Dane wejściowe'!B7/100))*(1+(('Dane wejściowe'!B8/200000)-1)*'Dane wejściowe'!B24)*(1+'Dane wejściowe'!B19/100))*1)-(('Dane wejściowe'!B6*('Dane wejściowe'!B12*(1-('Dane wejściowe'!B7/100))+'Dane wejściowe'!B13*('Dane wejściowe'!B7/100))*(1+(('Dane wejściowe'!B8/200000)-1)*'Dane wejściowe'!B24)*'Dane wejściowe'!B14+'Dane wejściowe'!B17/MAX('Dane wejściowe'!B9,12)+'Dane wejściowe'!B18/MAX('Dane wejściowe'!B9,12))*1)-'Dane wejściowe'!B29)&gt;0,'Dane wejściowe'!B28/((('Dane wejściowe'!B6*('Dane wejściowe'!B22*(1-('Dane wejściowe'!B7/100))+'Dane wejściowe'!B23*('Dane wejściowe'!B7/100))*(1+(('Dane wejściowe'!B8/200000)-1)*'Dane wejściowe'!B24)*(1+'Dane wejściowe'!B19/100))*1)-(('Dane wejściowe'!B6*('Dane wejściowe'!B12*(1-('Dane wejściowe'!B7/100))+'Dane wejściowe'!B13*('Dane wejściowe'!B7/100))*(1+(('Dane wejściowe'!B8/200000)-1)*'Dane wejściowe'!B24)*'Dane wejściowe'!B14+'Dane wejściowe'!B17/MAX('Dane wejściowe'!B9,12)+'Dane wejściowe'!B18/MAX('Dane wejściowe'!B9,12))*1)-'Dane wejściowe'!B29),"N/A"),"N/A")</f>
        <v/>
      </c>
      <c r="J3" s="38">
        <f>((('Dane wejściowe'!B6*('Dane wejściowe'!B22*(1-('Dane wejściowe'!B7/100))+'Dane wejściowe'!B23*('Dane wejściowe'!B7/100))*(1+(('Dane wejściowe'!B8/200000)-1)*'Dane wejściowe'!B24))*1)-(('Dane wejściowe'!B6*('Dane wejściowe'!B12*(1-('Dane wejściowe'!B7/100))+'Dane wejściowe'!B13*('Dane wejściowe'!B7/100))*(1+(('Dane wejściowe'!B8/200000)-1)*'Dane wejściowe'!B24)*'Dane wejściowe'!B14)*1)-'Dane wejściowe'!B29)-((('Dane wejściowe'!B6*('Dane wejściowe'!B22*(1-('Dane wejściowe'!B7/100))+'Dane wejściowe'!B23*('Dane wejściowe'!B7/100))*(1+(('Dane wejściowe'!B8/200000)-1)*'Dane wejściowe'!B24)*(1+'Dane wejściowe'!B19/100))*1)-(('Dane wejściowe'!B6*('Dane wejściowe'!B12*(1-('Dane wejściowe'!B7/100))+'Dane wejściowe'!B13*('Dane wejściowe'!B7/100))*(1+(('Dane wejściowe'!B8/200000)-1)*'Dane wejściowe'!B24)*'Dane wejściowe'!B14+'Dane wejściowe'!B17/MAX('Dane wejściowe'!B9,12)+'Dane wejściowe'!B18/MAX('Dane wejściowe'!B9,12))*1)-'Dane wejściowe'!B29)</f>
        <v/>
      </c>
      <c r="K3" s="72">
        <f>IF(((('Dane wejściowe'!B6*('Dane wejściowe'!B22*(1-('Dane wejściowe'!B7/100))+'Dane wejściowe'!B23*('Dane wejściowe'!B7/100))*(1+(('Dane wejściowe'!B8/200000)-1)*'Dane wejściowe'!B24))*1)-(('Dane wejściowe'!B6*('Dane wejściowe'!B12*(1-('Dane wejściowe'!B7/100))+'Dane wejściowe'!B13*('Dane wejściowe'!B7/100))*(1+(('Dane wejściowe'!B8/200000)-1)*'Dane wejściowe'!B24)*'Dane wejściowe'!B14)*1)-'Dane wejściowe'!B29)&gt;((('Dane wejściowe'!B6*('Dane wejściowe'!B22*(1-('Dane wejściowe'!B7/100))+'Dane wejściowe'!B23*('Dane wejściowe'!B7/100))*(1+(('Dane wejściowe'!B8/200000)-1)*'Dane wejściowe'!B24)*(1+'Dane wejściowe'!B19/100))*1)-(('Dane wejściowe'!B6*('Dane wejściowe'!B12*(1-('Dane wejściowe'!B7/100))+'Dane wejściowe'!B13*('Dane wejściowe'!B7/100))*(1+(('Dane wejściowe'!B8/200000)-1)*'Dane wejściowe'!B24)*'Dane wejściowe'!B14+'Dane wejściowe'!B17/MAX('Dane wejściowe'!B9,12)+'Dane wejściowe'!B18/MAX('Dane wejściowe'!B9,12))*1)-'Dane wejściowe'!B29),"SUB","ABO")</f>
        <v/>
      </c>
    </row>
    <row r="4" ht="18" customHeight="1">
      <c r="A4" s="73" t="n">
        <v>3</v>
      </c>
      <c r="B4" s="74">
        <f>('Dane wejściowe'!B6*('Dane wejściowe'!B22*(1-('Dane wejściowe'!B7/100))+'Dane wejściowe'!B23*('Dane wejściowe'!B7/100))*(1+(('Dane wejściowe'!B8/200000)-1)*'Dane wejściowe'!B24))*3</f>
        <v/>
      </c>
      <c r="C4" s="65">
        <f>(('Dane wejściowe'!B6*('Dane wejściowe'!B22*(1-('Dane wejściowe'!B7/100))+'Dane wejściowe'!B23*('Dane wejściowe'!B7/100))*(1+(('Dane wejściowe'!B8/200000)-1)*'Dane wejściowe'!B24))*3)-(('Dane wejściowe'!B6*('Dane wejściowe'!B12*(1-('Dane wejściowe'!B7/100))+'Dane wejściowe'!B13*('Dane wejściowe'!B7/100))*(1+(('Dane wejściowe'!B8/200000)-1)*'Dane wejściowe'!B24)*'Dane wejściowe'!B14)*3)-'Dane wejściowe'!B29</f>
        <v/>
      </c>
      <c r="D4" s="66">
        <f>IFERROR(((('Dane wejściowe'!B6*('Dane wejściowe'!B22*(1-('Dane wejściowe'!B7/100))+'Dane wejściowe'!B23*('Dane wejściowe'!B7/100))*(1+(('Dane wejściowe'!B8/200000)-1)*'Dane wejściowe'!B24))*3)-(('Dane wejściowe'!B6*('Dane wejściowe'!B12*(1-('Dane wejściowe'!B7/100))+'Dane wejściowe'!B13*('Dane wejściowe'!B7/100))*(1+(('Dane wejściowe'!B8/200000)-1)*'Dane wejściowe'!B24)*'Dane wejściowe'!B14)*3)-'Dane wejściowe'!B29)/(('Dane wejściowe'!B6*('Dane wejściowe'!B22*(1-('Dane wejściowe'!B7/100))+'Dane wejściowe'!B23*('Dane wejściowe'!B7/100))*(1+(('Dane wejściowe'!B8/200000)-1)*'Dane wejściowe'!B24))*3)*100,0)</f>
        <v/>
      </c>
      <c r="E4" s="67">
        <f>IFERROR(IF(((('Dane wejściowe'!B6*('Dane wejściowe'!B22*(1-('Dane wejściowe'!B7/100))+'Dane wejściowe'!B23*('Dane wejściowe'!B7/100))*(1+(('Dane wejściowe'!B8/200000)-1)*'Dane wejściowe'!B24))*3)-(('Dane wejściowe'!B6*('Dane wejściowe'!B12*(1-('Dane wejściowe'!B7/100))+'Dane wejściowe'!B13*('Dane wejściowe'!B7/100))*(1+(('Dane wejściowe'!B8/200000)-1)*'Dane wejściowe'!B24)*'Dane wejściowe'!B14)*3)-'Dane wejściowe'!B29)&gt;0,'Dane wejściowe'!B28/((('Dane wejściowe'!B6*('Dane wejściowe'!B22*(1-('Dane wejściowe'!B7/100))+'Dane wejściowe'!B23*('Dane wejściowe'!B7/100))*(1+(('Dane wejściowe'!B8/200000)-1)*'Dane wejściowe'!B24))*3)-(('Dane wejściowe'!B6*('Dane wejściowe'!B12*(1-('Dane wejściowe'!B7/100))+'Dane wejściowe'!B13*('Dane wejściowe'!B7/100))*(1+(('Dane wejściowe'!B8/200000)-1)*'Dane wejściowe'!B24)*'Dane wejściowe'!B14)*3)-'Dane wejściowe'!B29),"N/A"),"N/A")</f>
        <v/>
      </c>
      <c r="F4" s="75" t="inlineStr"/>
      <c r="G4" s="69">
        <f>(('Dane wejściowe'!B6*('Dane wejściowe'!B22*(1-('Dane wejściowe'!B7/100))+'Dane wejściowe'!B23*('Dane wejściowe'!B7/100))*(1+(('Dane wejściowe'!B8/200000)-1)*'Dane wejściowe'!B24)*(1+'Dane wejściowe'!B19/100))*3)-(('Dane wejściowe'!B6*('Dane wejściowe'!B12*(1-('Dane wejściowe'!B7/100))+'Dane wejściowe'!B13*('Dane wejściowe'!B7/100))*(1+(('Dane wejściowe'!B8/200000)-1)*'Dane wejściowe'!B24)*'Dane wejściowe'!B14+'Dane wejściowe'!B17/MAX('Dane wejściowe'!B9,12)+'Dane wejściowe'!B18/MAX('Dane wejściowe'!B9,12))*3)-'Dane wejściowe'!B29</f>
        <v/>
      </c>
      <c r="H4" s="70">
        <f>IFERROR(((('Dane wejściowe'!B6*('Dane wejściowe'!B22*(1-('Dane wejściowe'!B7/100))+'Dane wejściowe'!B23*('Dane wejściowe'!B7/100))*(1+(('Dane wejściowe'!B8/200000)-1)*'Dane wejściowe'!B24)*(1+'Dane wejściowe'!B19/100))*3)-(('Dane wejściowe'!B6*('Dane wejściowe'!B12*(1-('Dane wejściowe'!B7/100))+'Dane wejściowe'!B13*('Dane wejściowe'!B7/100))*(1+(('Dane wejściowe'!B8/200000)-1)*'Dane wejściowe'!B24)*'Dane wejściowe'!B14+'Dane wejściowe'!B17/MAX('Dane wejściowe'!B9,12)+'Dane wejściowe'!B18/MAX('Dane wejściowe'!B9,12))*3)-'Dane wejściowe'!B29)/(('Dane wejściowe'!B6*('Dane wejściowe'!B22*(1-('Dane wejściowe'!B7/100))+'Dane wejściowe'!B23*('Dane wejściowe'!B7/100))*(1+(('Dane wejściowe'!B8/200000)-1)*'Dane wejściowe'!B24)*(1+'Dane wejściowe'!B19/100))*3)*100,0)</f>
        <v/>
      </c>
      <c r="I4" s="71">
        <f>IFERROR(IF(((('Dane wejściowe'!B6*('Dane wejściowe'!B22*(1-('Dane wejściowe'!B7/100))+'Dane wejściowe'!B23*('Dane wejściowe'!B7/100))*(1+(('Dane wejściowe'!B8/200000)-1)*'Dane wejściowe'!B24)*(1+'Dane wejściowe'!B19/100))*3)-(('Dane wejściowe'!B6*('Dane wejściowe'!B12*(1-('Dane wejściowe'!B7/100))+'Dane wejściowe'!B13*('Dane wejściowe'!B7/100))*(1+(('Dane wejściowe'!B8/200000)-1)*'Dane wejściowe'!B24)*'Dane wejściowe'!B14+'Dane wejściowe'!B17/MAX('Dane wejściowe'!B9,12)+'Dane wejściowe'!B18/MAX('Dane wejściowe'!B9,12))*3)-'Dane wejściowe'!B29)&gt;0,'Dane wejściowe'!B28/((('Dane wejściowe'!B6*('Dane wejściowe'!B22*(1-('Dane wejściowe'!B7/100))+'Dane wejściowe'!B23*('Dane wejściowe'!B7/100))*(1+(('Dane wejściowe'!B8/200000)-1)*'Dane wejściowe'!B24)*(1+'Dane wejściowe'!B19/100))*3)-(('Dane wejściowe'!B6*('Dane wejściowe'!B12*(1-('Dane wejściowe'!B7/100))+'Dane wejściowe'!B13*('Dane wejściowe'!B7/100))*(1+(('Dane wejściowe'!B8/200000)-1)*'Dane wejściowe'!B24)*'Dane wejściowe'!B14+'Dane wejściowe'!B17/MAX('Dane wejściowe'!B9,12)+'Dane wejściowe'!B18/MAX('Dane wejściowe'!B9,12))*3)-'Dane wejściowe'!B29),"N/A"),"N/A")</f>
        <v/>
      </c>
      <c r="J4" s="74">
        <f>((('Dane wejściowe'!B6*('Dane wejściowe'!B22*(1-('Dane wejściowe'!B7/100))+'Dane wejściowe'!B23*('Dane wejściowe'!B7/100))*(1+(('Dane wejściowe'!B8/200000)-1)*'Dane wejściowe'!B24))*3)-(('Dane wejściowe'!B6*('Dane wejściowe'!B12*(1-('Dane wejściowe'!B7/100))+'Dane wejściowe'!B13*('Dane wejściowe'!B7/100))*(1+(('Dane wejściowe'!B8/200000)-1)*'Dane wejściowe'!B24)*'Dane wejściowe'!B14)*3)-'Dane wejściowe'!B29)-((('Dane wejściowe'!B6*('Dane wejściowe'!B22*(1-('Dane wejściowe'!B7/100))+'Dane wejściowe'!B23*('Dane wejściowe'!B7/100))*(1+(('Dane wejściowe'!B8/200000)-1)*'Dane wejściowe'!B24)*(1+'Dane wejściowe'!B19/100))*3)-(('Dane wejściowe'!B6*('Dane wejściowe'!B12*(1-('Dane wejściowe'!B7/100))+'Dane wejściowe'!B13*('Dane wejściowe'!B7/100))*(1+(('Dane wejściowe'!B8/200000)-1)*'Dane wejściowe'!B24)*'Dane wejściowe'!B14+'Dane wejściowe'!B17/MAX('Dane wejściowe'!B9,12)+'Dane wejściowe'!B18/MAX('Dane wejściowe'!B9,12))*3)-'Dane wejściowe'!B29)</f>
        <v/>
      </c>
      <c r="K4" s="76">
        <f>IF(((('Dane wejściowe'!B6*('Dane wejściowe'!B22*(1-('Dane wejściowe'!B7/100))+'Dane wejściowe'!B23*('Dane wejściowe'!B7/100))*(1+(('Dane wejściowe'!B8/200000)-1)*'Dane wejściowe'!B24))*3)-(('Dane wejściowe'!B6*('Dane wejściowe'!B12*(1-('Dane wejściowe'!B7/100))+'Dane wejściowe'!B13*('Dane wejściowe'!B7/100))*(1+(('Dane wejściowe'!B8/200000)-1)*'Dane wejściowe'!B24)*'Dane wejściowe'!B14)*3)-'Dane wejściowe'!B29)&gt;((('Dane wejściowe'!B6*('Dane wejściowe'!B22*(1-('Dane wejściowe'!B7/100))+'Dane wejściowe'!B23*('Dane wejściowe'!B7/100))*(1+(('Dane wejściowe'!B8/200000)-1)*'Dane wejściowe'!B24)*(1+'Dane wejściowe'!B19/100))*3)-(('Dane wejściowe'!B6*('Dane wejściowe'!B12*(1-('Dane wejściowe'!B7/100))+'Dane wejściowe'!B13*('Dane wejściowe'!B7/100))*(1+(('Dane wejściowe'!B8/200000)-1)*'Dane wejściowe'!B24)*'Dane wejściowe'!B14+'Dane wejściowe'!B17/MAX('Dane wejściowe'!B9,12)+'Dane wejściowe'!B18/MAX('Dane wejściowe'!B9,12))*3)-'Dane wejściowe'!B29),"SUB","ABO")</f>
        <v/>
      </c>
    </row>
    <row r="5" ht="18" customHeight="1">
      <c r="A5" s="64" t="n">
        <v>5</v>
      </c>
      <c r="B5" s="38">
        <f>('Dane wejściowe'!B6*('Dane wejściowe'!B22*(1-('Dane wejściowe'!B7/100))+'Dane wejściowe'!B23*('Dane wejściowe'!B7/100))*(1+(('Dane wejściowe'!B8/200000)-1)*'Dane wejściowe'!B24))*5</f>
        <v/>
      </c>
      <c r="C5" s="65">
        <f>(('Dane wejściowe'!B6*('Dane wejściowe'!B22*(1-('Dane wejściowe'!B7/100))+'Dane wejściowe'!B23*('Dane wejściowe'!B7/100))*(1+(('Dane wejściowe'!B8/200000)-1)*'Dane wejściowe'!B24))*5)-(('Dane wejściowe'!B6*('Dane wejściowe'!B12*(1-('Dane wejściowe'!B7/100))+'Dane wejściowe'!B13*('Dane wejściowe'!B7/100))*(1+(('Dane wejściowe'!B8/200000)-1)*'Dane wejściowe'!B24)*'Dane wejściowe'!B14)*5)-'Dane wejściowe'!B29</f>
        <v/>
      </c>
      <c r="D5" s="66">
        <f>IFERROR(((('Dane wejściowe'!B6*('Dane wejściowe'!B22*(1-('Dane wejściowe'!B7/100))+'Dane wejściowe'!B23*('Dane wejściowe'!B7/100))*(1+(('Dane wejściowe'!B8/200000)-1)*'Dane wejściowe'!B24))*5)-(('Dane wejściowe'!B6*('Dane wejściowe'!B12*(1-('Dane wejściowe'!B7/100))+'Dane wejściowe'!B13*('Dane wejściowe'!B7/100))*(1+(('Dane wejściowe'!B8/200000)-1)*'Dane wejściowe'!B24)*'Dane wejściowe'!B14)*5)-'Dane wejściowe'!B29)/(('Dane wejściowe'!B6*('Dane wejściowe'!B22*(1-('Dane wejściowe'!B7/100))+'Dane wejściowe'!B23*('Dane wejściowe'!B7/100))*(1+(('Dane wejściowe'!B8/200000)-1)*'Dane wejściowe'!B24))*5)*100,0)</f>
        <v/>
      </c>
      <c r="E5" s="67">
        <f>IFERROR(IF(((('Dane wejściowe'!B6*('Dane wejściowe'!B22*(1-('Dane wejściowe'!B7/100))+'Dane wejściowe'!B23*('Dane wejściowe'!B7/100))*(1+(('Dane wejściowe'!B8/200000)-1)*'Dane wejściowe'!B24))*5)-(('Dane wejściowe'!B6*('Dane wejściowe'!B12*(1-('Dane wejściowe'!B7/100))+'Dane wejściowe'!B13*('Dane wejściowe'!B7/100))*(1+(('Dane wejściowe'!B8/200000)-1)*'Dane wejściowe'!B24)*'Dane wejściowe'!B14)*5)-'Dane wejściowe'!B29)&gt;0,'Dane wejściowe'!B28/((('Dane wejściowe'!B6*('Dane wejściowe'!B22*(1-('Dane wejściowe'!B7/100))+'Dane wejściowe'!B23*('Dane wejściowe'!B7/100))*(1+(('Dane wejściowe'!B8/200000)-1)*'Dane wejściowe'!B24))*5)-(('Dane wejściowe'!B6*('Dane wejściowe'!B12*(1-('Dane wejściowe'!B7/100))+'Dane wejściowe'!B13*('Dane wejściowe'!B7/100))*(1+(('Dane wejściowe'!B8/200000)-1)*'Dane wejściowe'!B24)*'Dane wejściowe'!B14)*5)-'Dane wejściowe'!B29),"N/A"),"N/A")</f>
        <v/>
      </c>
      <c r="F5" s="68" t="inlineStr"/>
      <c r="G5" s="69">
        <f>(('Dane wejściowe'!B6*('Dane wejściowe'!B22*(1-('Dane wejściowe'!B7/100))+'Dane wejściowe'!B23*('Dane wejściowe'!B7/100))*(1+(('Dane wejściowe'!B8/200000)-1)*'Dane wejściowe'!B24)*(1+'Dane wejściowe'!B19/100))*5)-(('Dane wejściowe'!B6*('Dane wejściowe'!B12*(1-('Dane wejściowe'!B7/100))+'Dane wejściowe'!B13*('Dane wejściowe'!B7/100))*(1+(('Dane wejściowe'!B8/200000)-1)*'Dane wejściowe'!B24)*'Dane wejściowe'!B14+'Dane wejściowe'!B17/MAX('Dane wejściowe'!B9,12)+'Dane wejściowe'!B18/MAX('Dane wejściowe'!B9,12))*5)-'Dane wejściowe'!B29</f>
        <v/>
      </c>
      <c r="H5" s="70">
        <f>IFERROR(((('Dane wejściowe'!B6*('Dane wejściowe'!B22*(1-('Dane wejściowe'!B7/100))+'Dane wejściowe'!B23*('Dane wejściowe'!B7/100))*(1+(('Dane wejściowe'!B8/200000)-1)*'Dane wejściowe'!B24)*(1+'Dane wejściowe'!B19/100))*5)-(('Dane wejściowe'!B6*('Dane wejściowe'!B12*(1-('Dane wejściowe'!B7/100))+'Dane wejściowe'!B13*('Dane wejściowe'!B7/100))*(1+(('Dane wejściowe'!B8/200000)-1)*'Dane wejściowe'!B24)*'Dane wejściowe'!B14+'Dane wejściowe'!B17/MAX('Dane wejściowe'!B9,12)+'Dane wejściowe'!B18/MAX('Dane wejściowe'!B9,12))*5)-'Dane wejściowe'!B29)/(('Dane wejściowe'!B6*('Dane wejściowe'!B22*(1-('Dane wejściowe'!B7/100))+'Dane wejściowe'!B23*('Dane wejściowe'!B7/100))*(1+(('Dane wejściowe'!B8/200000)-1)*'Dane wejściowe'!B24)*(1+'Dane wejściowe'!B19/100))*5)*100,0)</f>
        <v/>
      </c>
      <c r="I5" s="71">
        <f>IFERROR(IF(((('Dane wejściowe'!B6*('Dane wejściowe'!B22*(1-('Dane wejściowe'!B7/100))+'Dane wejściowe'!B23*('Dane wejściowe'!B7/100))*(1+(('Dane wejściowe'!B8/200000)-1)*'Dane wejściowe'!B24)*(1+'Dane wejściowe'!B19/100))*5)-(('Dane wejściowe'!B6*('Dane wejściowe'!B12*(1-('Dane wejściowe'!B7/100))+'Dane wejściowe'!B13*('Dane wejściowe'!B7/100))*(1+(('Dane wejściowe'!B8/200000)-1)*'Dane wejściowe'!B24)*'Dane wejściowe'!B14+'Dane wejściowe'!B17/MAX('Dane wejściowe'!B9,12)+'Dane wejściowe'!B18/MAX('Dane wejściowe'!B9,12))*5)-'Dane wejściowe'!B29)&gt;0,'Dane wejściowe'!B28/((('Dane wejściowe'!B6*('Dane wejściowe'!B22*(1-('Dane wejściowe'!B7/100))+'Dane wejściowe'!B23*('Dane wejściowe'!B7/100))*(1+(('Dane wejściowe'!B8/200000)-1)*'Dane wejściowe'!B24)*(1+'Dane wejściowe'!B19/100))*5)-(('Dane wejściowe'!B6*('Dane wejściowe'!B12*(1-('Dane wejściowe'!B7/100))+'Dane wejściowe'!B13*('Dane wejściowe'!B7/100))*(1+(('Dane wejściowe'!B8/200000)-1)*'Dane wejściowe'!B24)*'Dane wejściowe'!B14+'Dane wejściowe'!B17/MAX('Dane wejściowe'!B9,12)+'Dane wejściowe'!B18/MAX('Dane wejściowe'!B9,12))*5)-'Dane wejściowe'!B29),"N/A"),"N/A")</f>
        <v/>
      </c>
      <c r="J5" s="38">
        <f>((('Dane wejściowe'!B6*('Dane wejściowe'!B22*(1-('Dane wejściowe'!B7/100))+'Dane wejściowe'!B23*('Dane wejściowe'!B7/100))*(1+(('Dane wejściowe'!B8/200000)-1)*'Dane wejściowe'!B24))*5)-(('Dane wejściowe'!B6*('Dane wejściowe'!B12*(1-('Dane wejściowe'!B7/100))+'Dane wejściowe'!B13*('Dane wejściowe'!B7/100))*(1+(('Dane wejściowe'!B8/200000)-1)*'Dane wejściowe'!B24)*'Dane wejściowe'!B14)*5)-'Dane wejściowe'!B29)-((('Dane wejściowe'!B6*('Dane wejściowe'!B22*(1-('Dane wejściowe'!B7/100))+'Dane wejściowe'!B23*('Dane wejściowe'!B7/100))*(1+(('Dane wejściowe'!B8/200000)-1)*'Dane wejściowe'!B24)*(1+'Dane wejściowe'!B19/100))*5)-(('Dane wejściowe'!B6*('Dane wejściowe'!B12*(1-('Dane wejściowe'!B7/100))+'Dane wejściowe'!B13*('Dane wejściowe'!B7/100))*(1+(('Dane wejściowe'!B8/200000)-1)*'Dane wejściowe'!B24)*'Dane wejściowe'!B14+'Dane wejściowe'!B17/MAX('Dane wejściowe'!B9,12)+'Dane wejściowe'!B18/MAX('Dane wejściowe'!B9,12))*5)-'Dane wejściowe'!B29)</f>
        <v/>
      </c>
      <c r="K5" s="72">
        <f>IF(((('Dane wejściowe'!B6*('Dane wejściowe'!B22*(1-('Dane wejściowe'!B7/100))+'Dane wejściowe'!B23*('Dane wejściowe'!B7/100))*(1+(('Dane wejściowe'!B8/200000)-1)*'Dane wejściowe'!B24))*5)-(('Dane wejściowe'!B6*('Dane wejściowe'!B12*(1-('Dane wejściowe'!B7/100))+'Dane wejściowe'!B13*('Dane wejściowe'!B7/100))*(1+(('Dane wejściowe'!B8/200000)-1)*'Dane wejściowe'!B24)*'Dane wejściowe'!B14)*5)-'Dane wejściowe'!B29)&gt;((('Dane wejściowe'!B6*('Dane wejściowe'!B22*(1-('Dane wejściowe'!B7/100))+'Dane wejściowe'!B23*('Dane wejściowe'!B7/100))*(1+(('Dane wejściowe'!B8/200000)-1)*'Dane wejściowe'!B24)*(1+'Dane wejściowe'!B19/100))*5)-(('Dane wejściowe'!B6*('Dane wejściowe'!B12*(1-('Dane wejściowe'!B7/100))+'Dane wejściowe'!B13*('Dane wejściowe'!B7/100))*(1+(('Dane wejściowe'!B8/200000)-1)*'Dane wejściowe'!B24)*'Dane wejściowe'!B14+'Dane wejściowe'!B17/MAX('Dane wejściowe'!B9,12)+'Dane wejściowe'!B18/MAX('Dane wejściowe'!B9,12))*5)-'Dane wejściowe'!B29),"SUB","ABO")</f>
        <v/>
      </c>
    </row>
    <row r="6" ht="18" customHeight="1">
      <c r="A6" s="73" t="n">
        <v>10</v>
      </c>
      <c r="B6" s="74">
        <f>('Dane wejściowe'!B6*('Dane wejściowe'!B22*(1-('Dane wejściowe'!B7/100))+'Dane wejściowe'!B23*('Dane wejściowe'!B7/100))*(1+(('Dane wejściowe'!B8/200000)-1)*'Dane wejściowe'!B24))*10</f>
        <v/>
      </c>
      <c r="C6" s="65">
        <f>(('Dane wejściowe'!B6*('Dane wejściowe'!B22*(1-('Dane wejściowe'!B7/100))+'Dane wejściowe'!B23*('Dane wejściowe'!B7/100))*(1+(('Dane wejściowe'!B8/200000)-1)*'Dane wejściowe'!B24))*10)-(('Dane wejściowe'!B6*('Dane wejściowe'!B12*(1-('Dane wejściowe'!B7/100))+'Dane wejściowe'!B13*('Dane wejściowe'!B7/100))*(1+(('Dane wejściowe'!B8/200000)-1)*'Dane wejściowe'!B24)*'Dane wejściowe'!B14)*10)-'Dane wejściowe'!B29</f>
        <v/>
      </c>
      <c r="D6" s="66">
        <f>IFERROR(((('Dane wejściowe'!B6*('Dane wejściowe'!B22*(1-('Dane wejściowe'!B7/100))+'Dane wejściowe'!B23*('Dane wejściowe'!B7/100))*(1+(('Dane wejściowe'!B8/200000)-1)*'Dane wejściowe'!B24))*10)-(('Dane wejściowe'!B6*('Dane wejściowe'!B12*(1-('Dane wejściowe'!B7/100))+'Dane wejściowe'!B13*('Dane wejściowe'!B7/100))*(1+(('Dane wejściowe'!B8/200000)-1)*'Dane wejściowe'!B24)*'Dane wejściowe'!B14)*10)-'Dane wejściowe'!B29)/(('Dane wejściowe'!B6*('Dane wejściowe'!B22*(1-('Dane wejściowe'!B7/100))+'Dane wejściowe'!B23*('Dane wejściowe'!B7/100))*(1+(('Dane wejściowe'!B8/200000)-1)*'Dane wejściowe'!B24))*10)*100,0)</f>
        <v/>
      </c>
      <c r="E6" s="67">
        <f>IFERROR(IF(((('Dane wejściowe'!B6*('Dane wejściowe'!B22*(1-('Dane wejściowe'!B7/100))+'Dane wejściowe'!B23*('Dane wejściowe'!B7/100))*(1+(('Dane wejściowe'!B8/200000)-1)*'Dane wejściowe'!B24))*10)-(('Dane wejściowe'!B6*('Dane wejściowe'!B12*(1-('Dane wejściowe'!B7/100))+'Dane wejściowe'!B13*('Dane wejściowe'!B7/100))*(1+(('Dane wejściowe'!B8/200000)-1)*'Dane wejściowe'!B24)*'Dane wejściowe'!B14)*10)-'Dane wejściowe'!B29)&gt;0,'Dane wejściowe'!B28/((('Dane wejściowe'!B6*('Dane wejściowe'!B22*(1-('Dane wejściowe'!B7/100))+'Dane wejściowe'!B23*('Dane wejściowe'!B7/100))*(1+(('Dane wejściowe'!B8/200000)-1)*'Dane wejściowe'!B24))*10)-(('Dane wejściowe'!B6*('Dane wejściowe'!B12*(1-('Dane wejściowe'!B7/100))+'Dane wejściowe'!B13*('Dane wejściowe'!B7/100))*(1+(('Dane wejściowe'!B8/200000)-1)*'Dane wejściowe'!B24)*'Dane wejściowe'!B14)*10)-'Dane wejściowe'!B29),"N/A"),"N/A")</f>
        <v/>
      </c>
      <c r="F6" s="75" t="inlineStr"/>
      <c r="G6" s="69">
        <f>(('Dane wejściowe'!B6*('Dane wejściowe'!B22*(1-('Dane wejściowe'!B7/100))+'Dane wejściowe'!B23*('Dane wejściowe'!B7/100))*(1+(('Dane wejściowe'!B8/200000)-1)*'Dane wejściowe'!B24)*(1+'Dane wejściowe'!B19/100))*10)-(('Dane wejściowe'!B6*('Dane wejściowe'!B12*(1-('Dane wejściowe'!B7/100))+'Dane wejściowe'!B13*('Dane wejściowe'!B7/100))*(1+(('Dane wejściowe'!B8/200000)-1)*'Dane wejściowe'!B24)*'Dane wejściowe'!B14+'Dane wejściowe'!B17/MAX('Dane wejściowe'!B9,12)+'Dane wejściowe'!B18/MAX('Dane wejściowe'!B9,12))*10)-'Dane wejściowe'!B29</f>
        <v/>
      </c>
      <c r="H6" s="70">
        <f>IFERROR(((('Dane wejściowe'!B6*('Dane wejściowe'!B22*(1-('Dane wejściowe'!B7/100))+'Dane wejściowe'!B23*('Dane wejściowe'!B7/100))*(1+(('Dane wejściowe'!B8/200000)-1)*'Dane wejściowe'!B24)*(1+'Dane wejściowe'!B19/100))*10)-(('Dane wejściowe'!B6*('Dane wejściowe'!B12*(1-('Dane wejściowe'!B7/100))+'Dane wejściowe'!B13*('Dane wejściowe'!B7/100))*(1+(('Dane wejściowe'!B8/200000)-1)*'Dane wejściowe'!B24)*'Dane wejściowe'!B14+'Dane wejściowe'!B17/MAX('Dane wejściowe'!B9,12)+'Dane wejściowe'!B18/MAX('Dane wejściowe'!B9,12))*10)-'Dane wejściowe'!B29)/(('Dane wejściowe'!B6*('Dane wejściowe'!B22*(1-('Dane wejściowe'!B7/100))+'Dane wejściowe'!B23*('Dane wejściowe'!B7/100))*(1+(('Dane wejściowe'!B8/200000)-1)*'Dane wejściowe'!B24)*(1+'Dane wejściowe'!B19/100))*10)*100,0)</f>
        <v/>
      </c>
      <c r="I6" s="71">
        <f>IFERROR(IF(((('Dane wejściowe'!B6*('Dane wejściowe'!B22*(1-('Dane wejściowe'!B7/100))+'Dane wejściowe'!B23*('Dane wejściowe'!B7/100))*(1+(('Dane wejściowe'!B8/200000)-1)*'Dane wejściowe'!B24)*(1+'Dane wejściowe'!B19/100))*10)-(('Dane wejściowe'!B6*('Dane wejściowe'!B12*(1-('Dane wejściowe'!B7/100))+'Dane wejściowe'!B13*('Dane wejściowe'!B7/100))*(1+(('Dane wejściowe'!B8/200000)-1)*'Dane wejściowe'!B24)*'Dane wejściowe'!B14+'Dane wejściowe'!B17/MAX('Dane wejściowe'!B9,12)+'Dane wejściowe'!B18/MAX('Dane wejściowe'!B9,12))*10)-'Dane wejściowe'!B29)&gt;0,'Dane wejściowe'!B28/((('Dane wejściowe'!B6*('Dane wejściowe'!B22*(1-('Dane wejściowe'!B7/100))+'Dane wejściowe'!B23*('Dane wejściowe'!B7/100))*(1+(('Dane wejściowe'!B8/200000)-1)*'Dane wejściowe'!B24)*(1+'Dane wejściowe'!B19/100))*10)-(('Dane wejściowe'!B6*('Dane wejściowe'!B12*(1-('Dane wejściowe'!B7/100))+'Dane wejściowe'!B13*('Dane wejściowe'!B7/100))*(1+(('Dane wejściowe'!B8/200000)-1)*'Dane wejściowe'!B24)*'Dane wejściowe'!B14+'Dane wejściowe'!B17/MAX('Dane wejściowe'!B9,12)+'Dane wejściowe'!B18/MAX('Dane wejściowe'!B9,12))*10)-'Dane wejściowe'!B29),"N/A"),"N/A")</f>
        <v/>
      </c>
      <c r="J6" s="74">
        <f>((('Dane wejściowe'!B6*('Dane wejściowe'!B22*(1-('Dane wejściowe'!B7/100))+'Dane wejściowe'!B23*('Dane wejściowe'!B7/100))*(1+(('Dane wejściowe'!B8/200000)-1)*'Dane wejściowe'!B24))*10)-(('Dane wejściowe'!B6*('Dane wejściowe'!B12*(1-('Dane wejściowe'!B7/100))+'Dane wejściowe'!B13*('Dane wejściowe'!B7/100))*(1+(('Dane wejściowe'!B8/200000)-1)*'Dane wejściowe'!B24)*'Dane wejściowe'!B14)*10)-'Dane wejściowe'!B29)-((('Dane wejściowe'!B6*('Dane wejściowe'!B22*(1-('Dane wejściowe'!B7/100))+'Dane wejściowe'!B23*('Dane wejściowe'!B7/100))*(1+(('Dane wejściowe'!B8/200000)-1)*'Dane wejściowe'!B24)*(1+'Dane wejściowe'!B19/100))*10)-(('Dane wejściowe'!B6*('Dane wejściowe'!B12*(1-('Dane wejściowe'!B7/100))+'Dane wejściowe'!B13*('Dane wejściowe'!B7/100))*(1+(('Dane wejściowe'!B8/200000)-1)*'Dane wejściowe'!B24)*'Dane wejściowe'!B14+'Dane wejściowe'!B17/MAX('Dane wejściowe'!B9,12)+'Dane wejściowe'!B18/MAX('Dane wejściowe'!B9,12))*10)-'Dane wejściowe'!B29)</f>
        <v/>
      </c>
      <c r="K6" s="76">
        <f>IF(((('Dane wejściowe'!B6*('Dane wejściowe'!B22*(1-('Dane wejściowe'!B7/100))+'Dane wejściowe'!B23*('Dane wejściowe'!B7/100))*(1+(('Dane wejściowe'!B8/200000)-1)*'Dane wejściowe'!B24))*10)-(('Dane wejściowe'!B6*('Dane wejściowe'!B12*(1-('Dane wejściowe'!B7/100))+'Dane wejściowe'!B13*('Dane wejściowe'!B7/100))*(1+(('Dane wejściowe'!B8/200000)-1)*'Dane wejściowe'!B24)*'Dane wejściowe'!B14)*10)-'Dane wejściowe'!B29)&gt;((('Dane wejściowe'!B6*('Dane wejściowe'!B22*(1-('Dane wejściowe'!B7/100))+'Dane wejściowe'!B23*('Dane wejściowe'!B7/100))*(1+(('Dane wejściowe'!B8/200000)-1)*'Dane wejściowe'!B24)*(1+'Dane wejściowe'!B19/100))*10)-(('Dane wejściowe'!B6*('Dane wejściowe'!B12*(1-('Dane wejściowe'!B7/100))+'Dane wejściowe'!B13*('Dane wejściowe'!B7/100))*(1+(('Dane wejściowe'!B8/200000)-1)*'Dane wejściowe'!B24)*'Dane wejściowe'!B14+'Dane wejściowe'!B17/MAX('Dane wejściowe'!B9,12)+'Dane wejściowe'!B18/MAX('Dane wejściowe'!B9,12))*10)-'Dane wejściowe'!B29),"SUB","ABO")</f>
        <v/>
      </c>
    </row>
    <row r="7" ht="18" customHeight="1">
      <c r="A7" s="64" t="n">
        <v>15</v>
      </c>
      <c r="B7" s="38">
        <f>('Dane wejściowe'!B6*('Dane wejściowe'!B22*(1-('Dane wejściowe'!B7/100))+'Dane wejściowe'!B23*('Dane wejściowe'!B7/100))*(1+(('Dane wejściowe'!B8/200000)-1)*'Dane wejściowe'!B24))*15</f>
        <v/>
      </c>
      <c r="C7" s="65">
        <f>(('Dane wejściowe'!B6*('Dane wejściowe'!B22*(1-('Dane wejściowe'!B7/100))+'Dane wejściowe'!B23*('Dane wejściowe'!B7/100))*(1+(('Dane wejściowe'!B8/200000)-1)*'Dane wejściowe'!B24))*15)-(('Dane wejściowe'!B6*('Dane wejściowe'!B12*(1-('Dane wejściowe'!B7/100))+'Dane wejściowe'!B13*('Dane wejściowe'!B7/100))*(1+(('Dane wejściowe'!B8/200000)-1)*'Dane wejściowe'!B24)*'Dane wejściowe'!B14)*15)-'Dane wejściowe'!B29</f>
        <v/>
      </c>
      <c r="D7" s="66">
        <f>IFERROR(((('Dane wejściowe'!B6*('Dane wejściowe'!B22*(1-('Dane wejściowe'!B7/100))+'Dane wejściowe'!B23*('Dane wejściowe'!B7/100))*(1+(('Dane wejściowe'!B8/200000)-1)*'Dane wejściowe'!B24))*15)-(('Dane wejściowe'!B6*('Dane wejściowe'!B12*(1-('Dane wejściowe'!B7/100))+'Dane wejściowe'!B13*('Dane wejściowe'!B7/100))*(1+(('Dane wejściowe'!B8/200000)-1)*'Dane wejściowe'!B24)*'Dane wejściowe'!B14)*15)-'Dane wejściowe'!B29)/(('Dane wejściowe'!B6*('Dane wejściowe'!B22*(1-('Dane wejściowe'!B7/100))+'Dane wejściowe'!B23*('Dane wejściowe'!B7/100))*(1+(('Dane wejściowe'!B8/200000)-1)*'Dane wejściowe'!B24))*15)*100,0)</f>
        <v/>
      </c>
      <c r="E7" s="67">
        <f>IFERROR(IF(((('Dane wejściowe'!B6*('Dane wejściowe'!B22*(1-('Dane wejściowe'!B7/100))+'Dane wejściowe'!B23*('Dane wejściowe'!B7/100))*(1+(('Dane wejściowe'!B8/200000)-1)*'Dane wejściowe'!B24))*15)-(('Dane wejściowe'!B6*('Dane wejściowe'!B12*(1-('Dane wejściowe'!B7/100))+'Dane wejściowe'!B13*('Dane wejściowe'!B7/100))*(1+(('Dane wejściowe'!B8/200000)-1)*'Dane wejściowe'!B24)*'Dane wejściowe'!B14)*15)-'Dane wejściowe'!B29)&gt;0,'Dane wejściowe'!B28/((('Dane wejściowe'!B6*('Dane wejściowe'!B22*(1-('Dane wejściowe'!B7/100))+'Dane wejściowe'!B23*('Dane wejściowe'!B7/100))*(1+(('Dane wejściowe'!B8/200000)-1)*'Dane wejściowe'!B24))*15)-(('Dane wejściowe'!B6*('Dane wejściowe'!B12*(1-('Dane wejściowe'!B7/100))+'Dane wejściowe'!B13*('Dane wejściowe'!B7/100))*(1+(('Dane wejściowe'!B8/200000)-1)*'Dane wejściowe'!B24)*'Dane wejściowe'!B14)*15)-'Dane wejściowe'!B29),"N/A"),"N/A")</f>
        <v/>
      </c>
      <c r="F7" s="68" t="inlineStr"/>
      <c r="G7" s="69">
        <f>(('Dane wejściowe'!B6*('Dane wejściowe'!B22*(1-('Dane wejściowe'!B7/100))+'Dane wejściowe'!B23*('Dane wejściowe'!B7/100))*(1+(('Dane wejściowe'!B8/200000)-1)*'Dane wejściowe'!B24)*(1+'Dane wejściowe'!B19/100))*15)-(('Dane wejściowe'!B6*('Dane wejściowe'!B12*(1-('Dane wejściowe'!B7/100))+'Dane wejściowe'!B13*('Dane wejściowe'!B7/100))*(1+(('Dane wejściowe'!B8/200000)-1)*'Dane wejściowe'!B24)*'Dane wejściowe'!B14+'Dane wejściowe'!B17/MAX('Dane wejściowe'!B9,12)+'Dane wejściowe'!B18/MAX('Dane wejściowe'!B9,12))*15)-'Dane wejściowe'!B29</f>
        <v/>
      </c>
      <c r="H7" s="70">
        <f>IFERROR(((('Dane wejściowe'!B6*('Dane wejściowe'!B22*(1-('Dane wejściowe'!B7/100))+'Dane wejściowe'!B23*('Dane wejściowe'!B7/100))*(1+(('Dane wejściowe'!B8/200000)-1)*'Dane wejściowe'!B24)*(1+'Dane wejściowe'!B19/100))*15)-(('Dane wejściowe'!B6*('Dane wejściowe'!B12*(1-('Dane wejściowe'!B7/100))+'Dane wejściowe'!B13*('Dane wejściowe'!B7/100))*(1+(('Dane wejściowe'!B8/200000)-1)*'Dane wejściowe'!B24)*'Dane wejściowe'!B14+'Dane wejściowe'!B17/MAX('Dane wejściowe'!B9,12)+'Dane wejściowe'!B18/MAX('Dane wejściowe'!B9,12))*15)-'Dane wejściowe'!B29)/(('Dane wejściowe'!B6*('Dane wejściowe'!B22*(1-('Dane wejściowe'!B7/100))+'Dane wejściowe'!B23*('Dane wejściowe'!B7/100))*(1+(('Dane wejściowe'!B8/200000)-1)*'Dane wejściowe'!B24)*(1+'Dane wejściowe'!B19/100))*15)*100,0)</f>
        <v/>
      </c>
      <c r="I7" s="71">
        <f>IFERROR(IF(((('Dane wejściowe'!B6*('Dane wejściowe'!B22*(1-('Dane wejściowe'!B7/100))+'Dane wejściowe'!B23*('Dane wejściowe'!B7/100))*(1+(('Dane wejściowe'!B8/200000)-1)*'Dane wejściowe'!B24)*(1+'Dane wejściowe'!B19/100))*15)-(('Dane wejściowe'!B6*('Dane wejściowe'!B12*(1-('Dane wejściowe'!B7/100))+'Dane wejściowe'!B13*('Dane wejściowe'!B7/100))*(1+(('Dane wejściowe'!B8/200000)-1)*'Dane wejściowe'!B24)*'Dane wejściowe'!B14+'Dane wejściowe'!B17/MAX('Dane wejściowe'!B9,12)+'Dane wejściowe'!B18/MAX('Dane wejściowe'!B9,12))*15)-'Dane wejściowe'!B29)&gt;0,'Dane wejściowe'!B28/((('Dane wejściowe'!B6*('Dane wejściowe'!B22*(1-('Dane wejściowe'!B7/100))+'Dane wejściowe'!B23*('Dane wejściowe'!B7/100))*(1+(('Dane wejściowe'!B8/200000)-1)*'Dane wejściowe'!B24)*(1+'Dane wejściowe'!B19/100))*15)-(('Dane wejściowe'!B6*('Dane wejściowe'!B12*(1-('Dane wejściowe'!B7/100))+'Dane wejściowe'!B13*('Dane wejściowe'!B7/100))*(1+(('Dane wejściowe'!B8/200000)-1)*'Dane wejściowe'!B24)*'Dane wejściowe'!B14+'Dane wejściowe'!B17/MAX('Dane wejściowe'!B9,12)+'Dane wejściowe'!B18/MAX('Dane wejściowe'!B9,12))*15)-'Dane wejściowe'!B29),"N/A"),"N/A")</f>
        <v/>
      </c>
      <c r="J7" s="38">
        <f>((('Dane wejściowe'!B6*('Dane wejściowe'!B22*(1-('Dane wejściowe'!B7/100))+'Dane wejściowe'!B23*('Dane wejściowe'!B7/100))*(1+(('Dane wejściowe'!B8/200000)-1)*'Dane wejściowe'!B24))*15)-(('Dane wejściowe'!B6*('Dane wejściowe'!B12*(1-('Dane wejściowe'!B7/100))+'Dane wejściowe'!B13*('Dane wejściowe'!B7/100))*(1+(('Dane wejściowe'!B8/200000)-1)*'Dane wejściowe'!B24)*'Dane wejściowe'!B14)*15)-'Dane wejściowe'!B29)-((('Dane wejściowe'!B6*('Dane wejściowe'!B22*(1-('Dane wejściowe'!B7/100))+'Dane wejściowe'!B23*('Dane wejściowe'!B7/100))*(1+(('Dane wejściowe'!B8/200000)-1)*'Dane wejściowe'!B24)*(1+'Dane wejściowe'!B19/100))*15)-(('Dane wejściowe'!B6*('Dane wejściowe'!B12*(1-('Dane wejściowe'!B7/100))+'Dane wejściowe'!B13*('Dane wejściowe'!B7/100))*(1+(('Dane wejściowe'!B8/200000)-1)*'Dane wejściowe'!B24)*'Dane wejściowe'!B14+'Dane wejściowe'!B17/MAX('Dane wejściowe'!B9,12)+'Dane wejściowe'!B18/MAX('Dane wejściowe'!B9,12))*15)-'Dane wejściowe'!B29)</f>
        <v/>
      </c>
      <c r="K7" s="72">
        <f>IF(((('Dane wejściowe'!B6*('Dane wejściowe'!B22*(1-('Dane wejściowe'!B7/100))+'Dane wejściowe'!B23*('Dane wejściowe'!B7/100))*(1+(('Dane wejściowe'!B8/200000)-1)*'Dane wejściowe'!B24))*15)-(('Dane wejściowe'!B6*('Dane wejściowe'!B12*(1-('Dane wejściowe'!B7/100))+'Dane wejściowe'!B13*('Dane wejściowe'!B7/100))*(1+(('Dane wejściowe'!B8/200000)-1)*'Dane wejściowe'!B24)*'Dane wejściowe'!B14)*15)-'Dane wejściowe'!B29)&gt;((('Dane wejściowe'!B6*('Dane wejściowe'!B22*(1-('Dane wejściowe'!B7/100))+'Dane wejściowe'!B23*('Dane wejściowe'!B7/100))*(1+(('Dane wejściowe'!B8/200000)-1)*'Dane wejściowe'!B24)*(1+'Dane wejściowe'!B19/100))*15)-(('Dane wejściowe'!B6*('Dane wejściowe'!B12*(1-('Dane wejściowe'!B7/100))+'Dane wejściowe'!B13*('Dane wejściowe'!B7/100))*(1+(('Dane wejściowe'!B8/200000)-1)*'Dane wejściowe'!B24)*'Dane wejściowe'!B14+'Dane wejściowe'!B17/MAX('Dane wejściowe'!B9,12)+'Dane wejściowe'!B18/MAX('Dane wejściowe'!B9,12))*15)-'Dane wejściowe'!B29),"SUB","ABO")</f>
        <v/>
      </c>
    </row>
    <row r="8" ht="18" customHeight="1">
      <c r="A8" s="73" t="n">
        <v>20</v>
      </c>
      <c r="B8" s="74">
        <f>('Dane wejściowe'!B6*('Dane wejściowe'!B22*(1-('Dane wejściowe'!B7/100))+'Dane wejściowe'!B23*('Dane wejściowe'!B7/100))*(1+(('Dane wejściowe'!B8/200000)-1)*'Dane wejściowe'!B24))*20</f>
        <v/>
      </c>
      <c r="C8" s="65">
        <f>(('Dane wejściowe'!B6*('Dane wejściowe'!B22*(1-('Dane wejściowe'!B7/100))+'Dane wejściowe'!B23*('Dane wejściowe'!B7/100))*(1+(('Dane wejściowe'!B8/200000)-1)*'Dane wejściowe'!B24))*20)-(('Dane wejściowe'!B6*('Dane wejściowe'!B12*(1-('Dane wejściowe'!B7/100))+'Dane wejściowe'!B13*('Dane wejściowe'!B7/100))*(1+(('Dane wejściowe'!B8/200000)-1)*'Dane wejściowe'!B24)*'Dane wejściowe'!B14)*20)-'Dane wejściowe'!B29</f>
        <v/>
      </c>
      <c r="D8" s="66">
        <f>IFERROR(((('Dane wejściowe'!B6*('Dane wejściowe'!B22*(1-('Dane wejściowe'!B7/100))+'Dane wejściowe'!B23*('Dane wejściowe'!B7/100))*(1+(('Dane wejściowe'!B8/200000)-1)*'Dane wejściowe'!B24))*20)-(('Dane wejściowe'!B6*('Dane wejściowe'!B12*(1-('Dane wejściowe'!B7/100))+'Dane wejściowe'!B13*('Dane wejściowe'!B7/100))*(1+(('Dane wejściowe'!B8/200000)-1)*'Dane wejściowe'!B24)*'Dane wejściowe'!B14)*20)-'Dane wejściowe'!B29)/(('Dane wejściowe'!B6*('Dane wejściowe'!B22*(1-('Dane wejściowe'!B7/100))+'Dane wejściowe'!B23*('Dane wejściowe'!B7/100))*(1+(('Dane wejściowe'!B8/200000)-1)*'Dane wejściowe'!B24))*20)*100,0)</f>
        <v/>
      </c>
      <c r="E8" s="67">
        <f>IFERROR(IF(((('Dane wejściowe'!B6*('Dane wejściowe'!B22*(1-('Dane wejściowe'!B7/100))+'Dane wejściowe'!B23*('Dane wejściowe'!B7/100))*(1+(('Dane wejściowe'!B8/200000)-1)*'Dane wejściowe'!B24))*20)-(('Dane wejściowe'!B6*('Dane wejściowe'!B12*(1-('Dane wejściowe'!B7/100))+'Dane wejściowe'!B13*('Dane wejściowe'!B7/100))*(1+(('Dane wejściowe'!B8/200000)-1)*'Dane wejściowe'!B24)*'Dane wejściowe'!B14)*20)-'Dane wejściowe'!B29)&gt;0,'Dane wejściowe'!B28/((('Dane wejściowe'!B6*('Dane wejściowe'!B22*(1-('Dane wejściowe'!B7/100))+'Dane wejściowe'!B23*('Dane wejściowe'!B7/100))*(1+(('Dane wejściowe'!B8/200000)-1)*'Dane wejściowe'!B24))*20)-(('Dane wejściowe'!B6*('Dane wejściowe'!B12*(1-('Dane wejściowe'!B7/100))+'Dane wejściowe'!B13*('Dane wejściowe'!B7/100))*(1+(('Dane wejściowe'!B8/200000)-1)*'Dane wejściowe'!B24)*'Dane wejściowe'!B14)*20)-'Dane wejściowe'!B29),"N/A"),"N/A")</f>
        <v/>
      </c>
      <c r="F8" s="75" t="inlineStr"/>
      <c r="G8" s="69">
        <f>(('Dane wejściowe'!B6*('Dane wejściowe'!B22*(1-('Dane wejściowe'!B7/100))+'Dane wejściowe'!B23*('Dane wejściowe'!B7/100))*(1+(('Dane wejściowe'!B8/200000)-1)*'Dane wejściowe'!B24)*(1+'Dane wejściowe'!B19/100))*20)-(('Dane wejściowe'!B6*('Dane wejściowe'!B12*(1-('Dane wejściowe'!B7/100))+'Dane wejściowe'!B13*('Dane wejściowe'!B7/100))*(1+(('Dane wejściowe'!B8/200000)-1)*'Dane wejściowe'!B24)*'Dane wejściowe'!B14+'Dane wejściowe'!B17/MAX('Dane wejściowe'!B9,12)+'Dane wejściowe'!B18/MAX('Dane wejściowe'!B9,12))*20)-'Dane wejściowe'!B29</f>
        <v/>
      </c>
      <c r="H8" s="70">
        <f>IFERROR(((('Dane wejściowe'!B6*('Dane wejściowe'!B22*(1-('Dane wejściowe'!B7/100))+'Dane wejściowe'!B23*('Dane wejściowe'!B7/100))*(1+(('Dane wejściowe'!B8/200000)-1)*'Dane wejściowe'!B24)*(1+'Dane wejściowe'!B19/100))*20)-(('Dane wejściowe'!B6*('Dane wejściowe'!B12*(1-('Dane wejściowe'!B7/100))+'Dane wejściowe'!B13*('Dane wejściowe'!B7/100))*(1+(('Dane wejściowe'!B8/200000)-1)*'Dane wejściowe'!B24)*'Dane wejściowe'!B14+'Dane wejściowe'!B17/MAX('Dane wejściowe'!B9,12)+'Dane wejściowe'!B18/MAX('Dane wejściowe'!B9,12))*20)-'Dane wejściowe'!B29)/(('Dane wejściowe'!B6*('Dane wejściowe'!B22*(1-('Dane wejściowe'!B7/100))+'Dane wejściowe'!B23*('Dane wejściowe'!B7/100))*(1+(('Dane wejściowe'!B8/200000)-1)*'Dane wejściowe'!B24)*(1+'Dane wejściowe'!B19/100))*20)*100,0)</f>
        <v/>
      </c>
      <c r="I8" s="71">
        <f>IFERROR(IF(((('Dane wejściowe'!B6*('Dane wejściowe'!B22*(1-('Dane wejściowe'!B7/100))+'Dane wejściowe'!B23*('Dane wejściowe'!B7/100))*(1+(('Dane wejściowe'!B8/200000)-1)*'Dane wejściowe'!B24)*(1+'Dane wejściowe'!B19/100))*20)-(('Dane wejściowe'!B6*('Dane wejściowe'!B12*(1-('Dane wejściowe'!B7/100))+'Dane wejściowe'!B13*('Dane wejściowe'!B7/100))*(1+(('Dane wejściowe'!B8/200000)-1)*'Dane wejściowe'!B24)*'Dane wejściowe'!B14+'Dane wejściowe'!B17/MAX('Dane wejściowe'!B9,12)+'Dane wejściowe'!B18/MAX('Dane wejściowe'!B9,12))*20)-'Dane wejściowe'!B29)&gt;0,'Dane wejściowe'!B28/((('Dane wejściowe'!B6*('Dane wejściowe'!B22*(1-('Dane wejściowe'!B7/100))+'Dane wejściowe'!B23*('Dane wejściowe'!B7/100))*(1+(('Dane wejściowe'!B8/200000)-1)*'Dane wejściowe'!B24)*(1+'Dane wejściowe'!B19/100))*20)-(('Dane wejściowe'!B6*('Dane wejściowe'!B12*(1-('Dane wejściowe'!B7/100))+'Dane wejściowe'!B13*('Dane wejściowe'!B7/100))*(1+(('Dane wejściowe'!B8/200000)-1)*'Dane wejściowe'!B24)*'Dane wejściowe'!B14+'Dane wejściowe'!B17/MAX('Dane wejściowe'!B9,12)+'Dane wejściowe'!B18/MAX('Dane wejściowe'!B9,12))*20)-'Dane wejściowe'!B29),"N/A"),"N/A")</f>
        <v/>
      </c>
      <c r="J8" s="74">
        <f>((('Dane wejściowe'!B6*('Dane wejściowe'!B22*(1-('Dane wejściowe'!B7/100))+'Dane wejściowe'!B23*('Dane wejściowe'!B7/100))*(1+(('Dane wejściowe'!B8/200000)-1)*'Dane wejściowe'!B24))*20)-(('Dane wejściowe'!B6*('Dane wejściowe'!B12*(1-('Dane wejściowe'!B7/100))+'Dane wejściowe'!B13*('Dane wejściowe'!B7/100))*(1+(('Dane wejściowe'!B8/200000)-1)*'Dane wejściowe'!B24)*'Dane wejściowe'!B14)*20)-'Dane wejściowe'!B29)-((('Dane wejściowe'!B6*('Dane wejściowe'!B22*(1-('Dane wejściowe'!B7/100))+'Dane wejściowe'!B23*('Dane wejściowe'!B7/100))*(1+(('Dane wejściowe'!B8/200000)-1)*'Dane wejściowe'!B24)*(1+'Dane wejściowe'!B19/100))*20)-(('Dane wejściowe'!B6*('Dane wejściowe'!B12*(1-('Dane wejściowe'!B7/100))+'Dane wejściowe'!B13*('Dane wejściowe'!B7/100))*(1+(('Dane wejściowe'!B8/200000)-1)*'Dane wejściowe'!B24)*'Dane wejściowe'!B14+'Dane wejściowe'!B17/MAX('Dane wejściowe'!B9,12)+'Dane wejściowe'!B18/MAX('Dane wejściowe'!B9,12))*20)-'Dane wejściowe'!B29)</f>
        <v/>
      </c>
      <c r="K8" s="76">
        <f>IF(((('Dane wejściowe'!B6*('Dane wejściowe'!B22*(1-('Dane wejściowe'!B7/100))+'Dane wejściowe'!B23*('Dane wejściowe'!B7/100))*(1+(('Dane wejściowe'!B8/200000)-1)*'Dane wejściowe'!B24))*20)-(('Dane wejściowe'!B6*('Dane wejściowe'!B12*(1-('Dane wejściowe'!B7/100))+'Dane wejściowe'!B13*('Dane wejściowe'!B7/100))*(1+(('Dane wejściowe'!B8/200000)-1)*'Dane wejściowe'!B24)*'Dane wejściowe'!B14)*20)-'Dane wejściowe'!B29)&gt;((('Dane wejściowe'!B6*('Dane wejściowe'!B22*(1-('Dane wejściowe'!B7/100))+'Dane wejściowe'!B23*('Dane wejściowe'!B7/100))*(1+(('Dane wejściowe'!B8/200000)-1)*'Dane wejściowe'!B24)*(1+'Dane wejściowe'!B19/100))*20)-(('Dane wejściowe'!B6*('Dane wejściowe'!B12*(1-('Dane wejściowe'!B7/100))+'Dane wejściowe'!B13*('Dane wejściowe'!B7/100))*(1+(('Dane wejściowe'!B8/200000)-1)*'Dane wejściowe'!B24)*'Dane wejściowe'!B14+'Dane wejściowe'!B17/MAX('Dane wejściowe'!B9,12)+'Dane wejściowe'!B18/MAX('Dane wejściowe'!B9,12))*20)-'Dane wejściowe'!B29),"SUB","ABO")</f>
        <v/>
      </c>
    </row>
    <row r="9" ht="18" customHeight="1">
      <c r="A9" s="64" t="n">
        <v>30</v>
      </c>
      <c r="B9" s="38">
        <f>('Dane wejściowe'!B6*('Dane wejściowe'!B22*(1-('Dane wejściowe'!B7/100))+'Dane wejściowe'!B23*('Dane wejściowe'!B7/100))*(1+(('Dane wejściowe'!B8/200000)-1)*'Dane wejściowe'!B24))*30</f>
        <v/>
      </c>
      <c r="C9" s="65">
        <f>(('Dane wejściowe'!B6*('Dane wejściowe'!B22*(1-('Dane wejściowe'!B7/100))+'Dane wejściowe'!B23*('Dane wejściowe'!B7/100))*(1+(('Dane wejściowe'!B8/200000)-1)*'Dane wejściowe'!B24))*30)-(('Dane wejściowe'!B6*('Dane wejściowe'!B12*(1-('Dane wejściowe'!B7/100))+'Dane wejściowe'!B13*('Dane wejściowe'!B7/100))*(1+(('Dane wejściowe'!B8/200000)-1)*'Dane wejściowe'!B24)*'Dane wejściowe'!B14)*30)-'Dane wejściowe'!B29</f>
        <v/>
      </c>
      <c r="D9" s="66">
        <f>IFERROR(((('Dane wejściowe'!B6*('Dane wejściowe'!B22*(1-('Dane wejściowe'!B7/100))+'Dane wejściowe'!B23*('Dane wejściowe'!B7/100))*(1+(('Dane wejściowe'!B8/200000)-1)*'Dane wejściowe'!B24))*30)-(('Dane wejściowe'!B6*('Dane wejściowe'!B12*(1-('Dane wejściowe'!B7/100))+'Dane wejściowe'!B13*('Dane wejściowe'!B7/100))*(1+(('Dane wejściowe'!B8/200000)-1)*'Dane wejściowe'!B24)*'Dane wejściowe'!B14)*30)-'Dane wejściowe'!B29)/(('Dane wejściowe'!B6*('Dane wejściowe'!B22*(1-('Dane wejściowe'!B7/100))+'Dane wejściowe'!B23*('Dane wejściowe'!B7/100))*(1+(('Dane wejściowe'!B8/200000)-1)*'Dane wejściowe'!B24))*30)*100,0)</f>
        <v/>
      </c>
      <c r="E9" s="67">
        <f>IFERROR(IF(((('Dane wejściowe'!B6*('Dane wejściowe'!B22*(1-('Dane wejściowe'!B7/100))+'Dane wejściowe'!B23*('Dane wejściowe'!B7/100))*(1+(('Dane wejściowe'!B8/200000)-1)*'Dane wejściowe'!B24))*30)-(('Dane wejściowe'!B6*('Dane wejściowe'!B12*(1-('Dane wejściowe'!B7/100))+'Dane wejściowe'!B13*('Dane wejściowe'!B7/100))*(1+(('Dane wejściowe'!B8/200000)-1)*'Dane wejściowe'!B24)*'Dane wejściowe'!B14)*30)-'Dane wejściowe'!B29)&gt;0,'Dane wejściowe'!B28/((('Dane wejściowe'!B6*('Dane wejściowe'!B22*(1-('Dane wejściowe'!B7/100))+'Dane wejściowe'!B23*('Dane wejściowe'!B7/100))*(1+(('Dane wejściowe'!B8/200000)-1)*'Dane wejściowe'!B24))*30)-(('Dane wejściowe'!B6*('Dane wejściowe'!B12*(1-('Dane wejściowe'!B7/100))+'Dane wejściowe'!B13*('Dane wejściowe'!B7/100))*(1+(('Dane wejściowe'!B8/200000)-1)*'Dane wejściowe'!B24)*'Dane wejściowe'!B14)*30)-'Dane wejściowe'!B29),"N/A"),"N/A")</f>
        <v/>
      </c>
      <c r="F9" s="68" t="inlineStr"/>
      <c r="G9" s="69">
        <f>(('Dane wejściowe'!B6*('Dane wejściowe'!B22*(1-('Dane wejściowe'!B7/100))+'Dane wejściowe'!B23*('Dane wejściowe'!B7/100))*(1+(('Dane wejściowe'!B8/200000)-1)*'Dane wejściowe'!B24)*(1+'Dane wejściowe'!B19/100))*30)-(('Dane wejściowe'!B6*('Dane wejściowe'!B12*(1-('Dane wejściowe'!B7/100))+'Dane wejściowe'!B13*('Dane wejściowe'!B7/100))*(1+(('Dane wejściowe'!B8/200000)-1)*'Dane wejściowe'!B24)*'Dane wejściowe'!B14+'Dane wejściowe'!B17/MAX('Dane wejściowe'!B9,12)+'Dane wejściowe'!B18/MAX('Dane wejściowe'!B9,12))*30)-'Dane wejściowe'!B29</f>
        <v/>
      </c>
      <c r="H9" s="70">
        <f>IFERROR(((('Dane wejściowe'!B6*('Dane wejściowe'!B22*(1-('Dane wejściowe'!B7/100))+'Dane wejściowe'!B23*('Dane wejściowe'!B7/100))*(1+(('Dane wejściowe'!B8/200000)-1)*'Dane wejściowe'!B24)*(1+'Dane wejściowe'!B19/100))*30)-(('Dane wejściowe'!B6*('Dane wejściowe'!B12*(1-('Dane wejściowe'!B7/100))+'Dane wejściowe'!B13*('Dane wejściowe'!B7/100))*(1+(('Dane wejściowe'!B8/200000)-1)*'Dane wejściowe'!B24)*'Dane wejściowe'!B14+'Dane wejściowe'!B17/MAX('Dane wejściowe'!B9,12)+'Dane wejściowe'!B18/MAX('Dane wejściowe'!B9,12))*30)-'Dane wejściowe'!B29)/(('Dane wejściowe'!B6*('Dane wejściowe'!B22*(1-('Dane wejściowe'!B7/100))+'Dane wejściowe'!B23*('Dane wejściowe'!B7/100))*(1+(('Dane wejściowe'!B8/200000)-1)*'Dane wejściowe'!B24)*(1+'Dane wejściowe'!B19/100))*30)*100,0)</f>
        <v/>
      </c>
      <c r="I9" s="71">
        <f>IFERROR(IF(((('Dane wejściowe'!B6*('Dane wejściowe'!B22*(1-('Dane wejściowe'!B7/100))+'Dane wejściowe'!B23*('Dane wejściowe'!B7/100))*(1+(('Dane wejściowe'!B8/200000)-1)*'Dane wejściowe'!B24)*(1+'Dane wejściowe'!B19/100))*30)-(('Dane wejściowe'!B6*('Dane wejściowe'!B12*(1-('Dane wejściowe'!B7/100))+'Dane wejściowe'!B13*('Dane wejściowe'!B7/100))*(1+(('Dane wejściowe'!B8/200000)-1)*'Dane wejściowe'!B24)*'Dane wejściowe'!B14+'Dane wejściowe'!B17/MAX('Dane wejściowe'!B9,12)+'Dane wejściowe'!B18/MAX('Dane wejściowe'!B9,12))*30)-'Dane wejściowe'!B29)&gt;0,'Dane wejściowe'!B28/((('Dane wejściowe'!B6*('Dane wejściowe'!B22*(1-('Dane wejściowe'!B7/100))+'Dane wejściowe'!B23*('Dane wejściowe'!B7/100))*(1+(('Dane wejściowe'!B8/200000)-1)*'Dane wejściowe'!B24)*(1+'Dane wejściowe'!B19/100))*30)-(('Dane wejściowe'!B6*('Dane wejściowe'!B12*(1-('Dane wejściowe'!B7/100))+'Dane wejściowe'!B13*('Dane wejściowe'!B7/100))*(1+(('Dane wejściowe'!B8/200000)-1)*'Dane wejściowe'!B24)*'Dane wejściowe'!B14+'Dane wejściowe'!B17/MAX('Dane wejściowe'!B9,12)+'Dane wejściowe'!B18/MAX('Dane wejściowe'!B9,12))*30)-'Dane wejściowe'!B29),"N/A"),"N/A")</f>
        <v/>
      </c>
      <c r="J9" s="38">
        <f>((('Dane wejściowe'!B6*('Dane wejściowe'!B22*(1-('Dane wejściowe'!B7/100))+'Dane wejściowe'!B23*('Dane wejściowe'!B7/100))*(1+(('Dane wejściowe'!B8/200000)-1)*'Dane wejściowe'!B24))*30)-(('Dane wejściowe'!B6*('Dane wejściowe'!B12*(1-('Dane wejściowe'!B7/100))+'Dane wejściowe'!B13*('Dane wejściowe'!B7/100))*(1+(('Dane wejściowe'!B8/200000)-1)*'Dane wejściowe'!B24)*'Dane wejściowe'!B14)*30)-'Dane wejściowe'!B29)-((('Dane wejściowe'!B6*('Dane wejściowe'!B22*(1-('Dane wejściowe'!B7/100))+'Dane wejściowe'!B23*('Dane wejściowe'!B7/100))*(1+(('Dane wejściowe'!B8/200000)-1)*'Dane wejściowe'!B24)*(1+'Dane wejściowe'!B19/100))*30)-(('Dane wejściowe'!B6*('Dane wejściowe'!B12*(1-('Dane wejściowe'!B7/100))+'Dane wejściowe'!B13*('Dane wejściowe'!B7/100))*(1+(('Dane wejściowe'!B8/200000)-1)*'Dane wejściowe'!B24)*'Dane wejściowe'!B14+'Dane wejściowe'!B17/MAX('Dane wejściowe'!B9,12)+'Dane wejściowe'!B18/MAX('Dane wejściowe'!B9,12))*30)-'Dane wejściowe'!B29)</f>
        <v/>
      </c>
      <c r="K9" s="72">
        <f>IF(((('Dane wejściowe'!B6*('Dane wejściowe'!B22*(1-('Dane wejściowe'!B7/100))+'Dane wejściowe'!B23*('Dane wejściowe'!B7/100))*(1+(('Dane wejściowe'!B8/200000)-1)*'Dane wejściowe'!B24))*30)-(('Dane wejściowe'!B6*('Dane wejściowe'!B12*(1-('Dane wejściowe'!B7/100))+'Dane wejściowe'!B13*('Dane wejściowe'!B7/100))*(1+(('Dane wejściowe'!B8/200000)-1)*'Dane wejściowe'!B24)*'Dane wejściowe'!B14)*30)-'Dane wejściowe'!B29)&gt;((('Dane wejściowe'!B6*('Dane wejściowe'!B22*(1-('Dane wejściowe'!B7/100))+'Dane wejściowe'!B23*('Dane wejściowe'!B7/100))*(1+(('Dane wejściowe'!B8/200000)-1)*'Dane wejściowe'!B24)*(1+'Dane wejściowe'!B19/100))*30)-(('Dane wejściowe'!B6*('Dane wejściowe'!B12*(1-('Dane wejściowe'!B7/100))+'Dane wejściowe'!B13*('Dane wejściowe'!B7/100))*(1+(('Dane wejściowe'!B8/200000)-1)*'Dane wejściowe'!B24)*'Dane wejściowe'!B14+'Dane wejściowe'!B17/MAX('Dane wejściowe'!B9,12)+'Dane wejściowe'!B18/MAX('Dane wejściowe'!B9,12))*30)-'Dane wejściowe'!B29),"SUB","ABO")</f>
        <v/>
      </c>
    </row>
    <row r="10" ht="18" customHeight="1">
      <c r="A10" s="73" t="n">
        <v>50</v>
      </c>
      <c r="B10" s="74">
        <f>('Dane wejściowe'!B6*('Dane wejściowe'!B22*(1-('Dane wejściowe'!B7/100))+'Dane wejściowe'!B23*('Dane wejściowe'!B7/100))*(1+(('Dane wejściowe'!B8/200000)-1)*'Dane wejściowe'!B24))*50</f>
        <v/>
      </c>
      <c r="C10" s="65">
        <f>(('Dane wejściowe'!B6*('Dane wejściowe'!B22*(1-('Dane wejściowe'!B7/100))+'Dane wejściowe'!B23*('Dane wejściowe'!B7/100))*(1+(('Dane wejściowe'!B8/200000)-1)*'Dane wejściowe'!B24))*50)-(('Dane wejściowe'!B6*('Dane wejściowe'!B12*(1-('Dane wejściowe'!B7/100))+'Dane wejściowe'!B13*('Dane wejściowe'!B7/100))*(1+(('Dane wejściowe'!B8/200000)-1)*'Dane wejściowe'!B24)*'Dane wejściowe'!B14)*50)-'Dane wejściowe'!B29</f>
        <v/>
      </c>
      <c r="D10" s="66">
        <f>IFERROR(((('Dane wejściowe'!B6*('Dane wejściowe'!B22*(1-('Dane wejściowe'!B7/100))+'Dane wejściowe'!B23*('Dane wejściowe'!B7/100))*(1+(('Dane wejściowe'!B8/200000)-1)*'Dane wejściowe'!B24))*50)-(('Dane wejściowe'!B6*('Dane wejściowe'!B12*(1-('Dane wejściowe'!B7/100))+'Dane wejściowe'!B13*('Dane wejściowe'!B7/100))*(1+(('Dane wejściowe'!B8/200000)-1)*'Dane wejściowe'!B24)*'Dane wejściowe'!B14)*50)-'Dane wejściowe'!B29)/(('Dane wejściowe'!B6*('Dane wejściowe'!B22*(1-('Dane wejściowe'!B7/100))+'Dane wejściowe'!B23*('Dane wejściowe'!B7/100))*(1+(('Dane wejściowe'!B8/200000)-1)*'Dane wejściowe'!B24))*50)*100,0)</f>
        <v/>
      </c>
      <c r="E10" s="67">
        <f>IFERROR(IF(((('Dane wejściowe'!B6*('Dane wejściowe'!B22*(1-('Dane wejściowe'!B7/100))+'Dane wejściowe'!B23*('Dane wejściowe'!B7/100))*(1+(('Dane wejściowe'!B8/200000)-1)*'Dane wejściowe'!B24))*50)-(('Dane wejściowe'!B6*('Dane wejściowe'!B12*(1-('Dane wejściowe'!B7/100))+'Dane wejściowe'!B13*('Dane wejściowe'!B7/100))*(1+(('Dane wejściowe'!B8/200000)-1)*'Dane wejściowe'!B24)*'Dane wejściowe'!B14)*50)-'Dane wejściowe'!B29)&gt;0,'Dane wejściowe'!B28/((('Dane wejściowe'!B6*('Dane wejściowe'!B22*(1-('Dane wejściowe'!B7/100))+'Dane wejściowe'!B23*('Dane wejściowe'!B7/100))*(1+(('Dane wejściowe'!B8/200000)-1)*'Dane wejściowe'!B24))*50)-(('Dane wejściowe'!B6*('Dane wejściowe'!B12*(1-('Dane wejściowe'!B7/100))+'Dane wejściowe'!B13*('Dane wejściowe'!B7/100))*(1+(('Dane wejściowe'!B8/200000)-1)*'Dane wejściowe'!B24)*'Dane wejściowe'!B14)*50)-'Dane wejściowe'!B29),"N/A"),"N/A")</f>
        <v/>
      </c>
      <c r="F10" s="75" t="inlineStr"/>
      <c r="G10" s="69">
        <f>(('Dane wejściowe'!B6*('Dane wejściowe'!B22*(1-('Dane wejściowe'!B7/100))+'Dane wejściowe'!B23*('Dane wejściowe'!B7/100))*(1+(('Dane wejściowe'!B8/200000)-1)*'Dane wejściowe'!B24)*(1+'Dane wejściowe'!B19/100))*50)-(('Dane wejściowe'!B6*('Dane wejściowe'!B12*(1-('Dane wejściowe'!B7/100))+'Dane wejściowe'!B13*('Dane wejściowe'!B7/100))*(1+(('Dane wejściowe'!B8/200000)-1)*'Dane wejściowe'!B24)*'Dane wejściowe'!B14+'Dane wejściowe'!B17/MAX('Dane wejściowe'!B9,12)+'Dane wejściowe'!B18/MAX('Dane wejściowe'!B9,12))*50)-'Dane wejściowe'!B29</f>
        <v/>
      </c>
      <c r="H10" s="70">
        <f>IFERROR(((('Dane wejściowe'!B6*('Dane wejściowe'!B22*(1-('Dane wejściowe'!B7/100))+'Dane wejściowe'!B23*('Dane wejściowe'!B7/100))*(1+(('Dane wejściowe'!B8/200000)-1)*'Dane wejściowe'!B24)*(1+'Dane wejściowe'!B19/100))*50)-(('Dane wejściowe'!B6*('Dane wejściowe'!B12*(1-('Dane wejściowe'!B7/100))+'Dane wejściowe'!B13*('Dane wejściowe'!B7/100))*(1+(('Dane wejściowe'!B8/200000)-1)*'Dane wejściowe'!B24)*'Dane wejściowe'!B14+'Dane wejściowe'!B17/MAX('Dane wejściowe'!B9,12)+'Dane wejściowe'!B18/MAX('Dane wejściowe'!B9,12))*50)-'Dane wejściowe'!B29)/(('Dane wejściowe'!B6*('Dane wejściowe'!B22*(1-('Dane wejściowe'!B7/100))+'Dane wejściowe'!B23*('Dane wejściowe'!B7/100))*(1+(('Dane wejściowe'!B8/200000)-1)*'Dane wejściowe'!B24)*(1+'Dane wejściowe'!B19/100))*50)*100,0)</f>
        <v/>
      </c>
      <c r="I10" s="71">
        <f>IFERROR(IF(((('Dane wejściowe'!B6*('Dane wejściowe'!B22*(1-('Dane wejściowe'!B7/100))+'Dane wejściowe'!B23*('Dane wejściowe'!B7/100))*(1+(('Dane wejściowe'!B8/200000)-1)*'Dane wejściowe'!B24)*(1+'Dane wejściowe'!B19/100))*50)-(('Dane wejściowe'!B6*('Dane wejściowe'!B12*(1-('Dane wejściowe'!B7/100))+'Dane wejściowe'!B13*('Dane wejściowe'!B7/100))*(1+(('Dane wejściowe'!B8/200000)-1)*'Dane wejściowe'!B24)*'Dane wejściowe'!B14+'Dane wejściowe'!B17/MAX('Dane wejściowe'!B9,12)+'Dane wejściowe'!B18/MAX('Dane wejściowe'!B9,12))*50)-'Dane wejściowe'!B29)&gt;0,'Dane wejściowe'!B28/((('Dane wejściowe'!B6*('Dane wejściowe'!B22*(1-('Dane wejściowe'!B7/100))+'Dane wejściowe'!B23*('Dane wejściowe'!B7/100))*(1+(('Dane wejściowe'!B8/200000)-1)*'Dane wejściowe'!B24)*(1+'Dane wejściowe'!B19/100))*50)-(('Dane wejściowe'!B6*('Dane wejściowe'!B12*(1-('Dane wejściowe'!B7/100))+'Dane wejściowe'!B13*('Dane wejściowe'!B7/100))*(1+(('Dane wejściowe'!B8/200000)-1)*'Dane wejściowe'!B24)*'Dane wejściowe'!B14+'Dane wejściowe'!B17/MAX('Dane wejściowe'!B9,12)+'Dane wejściowe'!B18/MAX('Dane wejściowe'!B9,12))*50)-'Dane wejściowe'!B29),"N/A"),"N/A")</f>
        <v/>
      </c>
      <c r="J10" s="74">
        <f>((('Dane wejściowe'!B6*('Dane wejściowe'!B22*(1-('Dane wejściowe'!B7/100))+'Dane wejściowe'!B23*('Dane wejściowe'!B7/100))*(1+(('Dane wejściowe'!B8/200000)-1)*'Dane wejściowe'!B24))*50)-(('Dane wejściowe'!B6*('Dane wejściowe'!B12*(1-('Dane wejściowe'!B7/100))+'Dane wejściowe'!B13*('Dane wejściowe'!B7/100))*(1+(('Dane wejściowe'!B8/200000)-1)*'Dane wejściowe'!B24)*'Dane wejściowe'!B14)*50)-'Dane wejściowe'!B29)-((('Dane wejściowe'!B6*('Dane wejściowe'!B22*(1-('Dane wejściowe'!B7/100))+'Dane wejściowe'!B23*('Dane wejściowe'!B7/100))*(1+(('Dane wejściowe'!B8/200000)-1)*'Dane wejściowe'!B24)*(1+'Dane wejściowe'!B19/100))*50)-(('Dane wejściowe'!B6*('Dane wejściowe'!B12*(1-('Dane wejściowe'!B7/100))+'Dane wejściowe'!B13*('Dane wejściowe'!B7/100))*(1+(('Dane wejściowe'!B8/200000)-1)*'Dane wejściowe'!B24)*'Dane wejściowe'!B14+'Dane wejściowe'!B17/MAX('Dane wejściowe'!B9,12)+'Dane wejściowe'!B18/MAX('Dane wejściowe'!B9,12))*50)-'Dane wejściowe'!B29)</f>
        <v/>
      </c>
      <c r="K10" s="76">
        <f>IF(((('Dane wejściowe'!B6*('Dane wejściowe'!B22*(1-('Dane wejściowe'!B7/100))+'Dane wejściowe'!B23*('Dane wejściowe'!B7/100))*(1+(('Dane wejściowe'!B8/200000)-1)*'Dane wejściowe'!B24))*50)-(('Dane wejściowe'!B6*('Dane wejściowe'!B12*(1-('Dane wejściowe'!B7/100))+'Dane wejściowe'!B13*('Dane wejściowe'!B7/100))*(1+(('Dane wejściowe'!B8/200000)-1)*'Dane wejściowe'!B24)*'Dane wejściowe'!B14)*50)-'Dane wejściowe'!B29)&gt;((('Dane wejściowe'!B6*('Dane wejściowe'!B22*(1-('Dane wejściowe'!B7/100))+'Dane wejściowe'!B23*('Dane wejściowe'!B7/100))*(1+(('Dane wejściowe'!B8/200000)-1)*'Dane wejściowe'!B24)*(1+'Dane wejściowe'!B19/100))*50)-(('Dane wejściowe'!B6*('Dane wejściowe'!B12*(1-('Dane wejściowe'!B7/100))+'Dane wejściowe'!B13*('Dane wejściowe'!B7/100))*(1+(('Dane wejściowe'!B8/200000)-1)*'Dane wejściowe'!B24)*'Dane wejściowe'!B14+'Dane wejściowe'!B17/MAX('Dane wejściowe'!B9,12)+'Dane wejściowe'!B18/MAX('Dane wejściowe'!B9,12))*50)-'Dane wejściowe'!B29),"SUB","ABO")</f>
        <v/>
      </c>
    </row>
    <row r="11" ht="18" customHeight="1">
      <c r="A11" s="64" t="n">
        <v>75</v>
      </c>
      <c r="B11" s="38">
        <f>('Dane wejściowe'!B6*('Dane wejściowe'!B22*(1-('Dane wejściowe'!B7/100))+'Dane wejściowe'!B23*('Dane wejściowe'!B7/100))*(1+(('Dane wejściowe'!B8/200000)-1)*'Dane wejściowe'!B24))*75</f>
        <v/>
      </c>
      <c r="C11" s="65">
        <f>(('Dane wejściowe'!B6*('Dane wejściowe'!B22*(1-('Dane wejściowe'!B7/100))+'Dane wejściowe'!B23*('Dane wejściowe'!B7/100))*(1+(('Dane wejściowe'!B8/200000)-1)*'Dane wejściowe'!B24))*75)-(('Dane wejściowe'!B6*('Dane wejściowe'!B12*(1-('Dane wejściowe'!B7/100))+'Dane wejściowe'!B13*('Dane wejściowe'!B7/100))*(1+(('Dane wejściowe'!B8/200000)-1)*'Dane wejściowe'!B24)*'Dane wejściowe'!B14)*75)-'Dane wejściowe'!B29</f>
        <v/>
      </c>
      <c r="D11" s="66">
        <f>IFERROR(((('Dane wejściowe'!B6*('Dane wejściowe'!B22*(1-('Dane wejściowe'!B7/100))+'Dane wejściowe'!B23*('Dane wejściowe'!B7/100))*(1+(('Dane wejściowe'!B8/200000)-1)*'Dane wejściowe'!B24))*75)-(('Dane wejściowe'!B6*('Dane wejściowe'!B12*(1-('Dane wejściowe'!B7/100))+'Dane wejściowe'!B13*('Dane wejściowe'!B7/100))*(1+(('Dane wejściowe'!B8/200000)-1)*'Dane wejściowe'!B24)*'Dane wejściowe'!B14)*75)-'Dane wejściowe'!B29)/(('Dane wejściowe'!B6*('Dane wejściowe'!B22*(1-('Dane wejściowe'!B7/100))+'Dane wejściowe'!B23*('Dane wejściowe'!B7/100))*(1+(('Dane wejściowe'!B8/200000)-1)*'Dane wejściowe'!B24))*75)*100,0)</f>
        <v/>
      </c>
      <c r="E11" s="67">
        <f>IFERROR(IF(((('Dane wejściowe'!B6*('Dane wejściowe'!B22*(1-('Dane wejściowe'!B7/100))+'Dane wejściowe'!B23*('Dane wejściowe'!B7/100))*(1+(('Dane wejściowe'!B8/200000)-1)*'Dane wejściowe'!B24))*75)-(('Dane wejściowe'!B6*('Dane wejściowe'!B12*(1-('Dane wejściowe'!B7/100))+'Dane wejściowe'!B13*('Dane wejściowe'!B7/100))*(1+(('Dane wejściowe'!B8/200000)-1)*'Dane wejściowe'!B24)*'Dane wejściowe'!B14)*75)-'Dane wejściowe'!B29)&gt;0,'Dane wejściowe'!B28/((('Dane wejściowe'!B6*('Dane wejściowe'!B22*(1-('Dane wejściowe'!B7/100))+'Dane wejściowe'!B23*('Dane wejściowe'!B7/100))*(1+(('Dane wejściowe'!B8/200000)-1)*'Dane wejściowe'!B24))*75)-(('Dane wejściowe'!B6*('Dane wejściowe'!B12*(1-('Dane wejściowe'!B7/100))+'Dane wejściowe'!B13*('Dane wejściowe'!B7/100))*(1+(('Dane wejściowe'!B8/200000)-1)*'Dane wejściowe'!B24)*'Dane wejściowe'!B14)*75)-'Dane wejściowe'!B29),"N/A"),"N/A")</f>
        <v/>
      </c>
      <c r="F11" s="68" t="inlineStr"/>
      <c r="G11" s="69">
        <f>(('Dane wejściowe'!B6*('Dane wejściowe'!B22*(1-('Dane wejściowe'!B7/100))+'Dane wejściowe'!B23*('Dane wejściowe'!B7/100))*(1+(('Dane wejściowe'!B8/200000)-1)*'Dane wejściowe'!B24)*(1+'Dane wejściowe'!B19/100))*75)-(('Dane wejściowe'!B6*('Dane wejściowe'!B12*(1-('Dane wejściowe'!B7/100))+'Dane wejściowe'!B13*('Dane wejściowe'!B7/100))*(1+(('Dane wejściowe'!B8/200000)-1)*'Dane wejściowe'!B24)*'Dane wejściowe'!B14+'Dane wejściowe'!B17/MAX('Dane wejściowe'!B9,12)+'Dane wejściowe'!B18/MAX('Dane wejściowe'!B9,12))*75)-'Dane wejściowe'!B29</f>
        <v/>
      </c>
      <c r="H11" s="70">
        <f>IFERROR(((('Dane wejściowe'!B6*('Dane wejściowe'!B22*(1-('Dane wejściowe'!B7/100))+'Dane wejściowe'!B23*('Dane wejściowe'!B7/100))*(1+(('Dane wejściowe'!B8/200000)-1)*'Dane wejściowe'!B24)*(1+'Dane wejściowe'!B19/100))*75)-(('Dane wejściowe'!B6*('Dane wejściowe'!B12*(1-('Dane wejściowe'!B7/100))+'Dane wejściowe'!B13*('Dane wejściowe'!B7/100))*(1+(('Dane wejściowe'!B8/200000)-1)*'Dane wejściowe'!B24)*'Dane wejściowe'!B14+'Dane wejściowe'!B17/MAX('Dane wejściowe'!B9,12)+'Dane wejściowe'!B18/MAX('Dane wejściowe'!B9,12))*75)-'Dane wejściowe'!B29)/(('Dane wejściowe'!B6*('Dane wejściowe'!B22*(1-('Dane wejściowe'!B7/100))+'Dane wejściowe'!B23*('Dane wejściowe'!B7/100))*(1+(('Dane wejściowe'!B8/200000)-1)*'Dane wejściowe'!B24)*(1+'Dane wejściowe'!B19/100))*75)*100,0)</f>
        <v/>
      </c>
      <c r="I11" s="71">
        <f>IFERROR(IF(((('Dane wejściowe'!B6*('Dane wejściowe'!B22*(1-('Dane wejściowe'!B7/100))+'Dane wejściowe'!B23*('Dane wejściowe'!B7/100))*(1+(('Dane wejściowe'!B8/200000)-1)*'Dane wejściowe'!B24)*(1+'Dane wejściowe'!B19/100))*75)-(('Dane wejściowe'!B6*('Dane wejściowe'!B12*(1-('Dane wejściowe'!B7/100))+'Dane wejściowe'!B13*('Dane wejściowe'!B7/100))*(1+(('Dane wejściowe'!B8/200000)-1)*'Dane wejściowe'!B24)*'Dane wejściowe'!B14+'Dane wejściowe'!B17/MAX('Dane wejściowe'!B9,12)+'Dane wejściowe'!B18/MAX('Dane wejściowe'!B9,12))*75)-'Dane wejściowe'!B29)&gt;0,'Dane wejściowe'!B28/((('Dane wejściowe'!B6*('Dane wejściowe'!B22*(1-('Dane wejściowe'!B7/100))+'Dane wejściowe'!B23*('Dane wejściowe'!B7/100))*(1+(('Dane wejściowe'!B8/200000)-1)*'Dane wejściowe'!B24)*(1+'Dane wejściowe'!B19/100))*75)-(('Dane wejściowe'!B6*('Dane wejściowe'!B12*(1-('Dane wejściowe'!B7/100))+'Dane wejściowe'!B13*('Dane wejściowe'!B7/100))*(1+(('Dane wejściowe'!B8/200000)-1)*'Dane wejściowe'!B24)*'Dane wejściowe'!B14+'Dane wejściowe'!B17/MAX('Dane wejściowe'!B9,12)+'Dane wejściowe'!B18/MAX('Dane wejściowe'!B9,12))*75)-'Dane wejściowe'!B29),"N/A"),"N/A")</f>
        <v/>
      </c>
      <c r="J11" s="38">
        <f>((('Dane wejściowe'!B6*('Dane wejściowe'!B22*(1-('Dane wejściowe'!B7/100))+'Dane wejściowe'!B23*('Dane wejściowe'!B7/100))*(1+(('Dane wejściowe'!B8/200000)-1)*'Dane wejściowe'!B24))*75)-(('Dane wejściowe'!B6*('Dane wejściowe'!B12*(1-('Dane wejściowe'!B7/100))+'Dane wejściowe'!B13*('Dane wejściowe'!B7/100))*(1+(('Dane wejściowe'!B8/200000)-1)*'Dane wejściowe'!B24)*'Dane wejściowe'!B14)*75)-'Dane wejściowe'!B29)-((('Dane wejściowe'!B6*('Dane wejściowe'!B22*(1-('Dane wejściowe'!B7/100))+'Dane wejściowe'!B23*('Dane wejściowe'!B7/100))*(1+(('Dane wejściowe'!B8/200000)-1)*'Dane wejściowe'!B24)*(1+'Dane wejściowe'!B19/100))*75)-(('Dane wejściowe'!B6*('Dane wejściowe'!B12*(1-('Dane wejściowe'!B7/100))+'Dane wejściowe'!B13*('Dane wejściowe'!B7/100))*(1+(('Dane wejściowe'!B8/200000)-1)*'Dane wejściowe'!B24)*'Dane wejściowe'!B14+'Dane wejściowe'!B17/MAX('Dane wejściowe'!B9,12)+'Dane wejściowe'!B18/MAX('Dane wejściowe'!B9,12))*75)-'Dane wejściowe'!B29)</f>
        <v/>
      </c>
      <c r="K11" s="72">
        <f>IF(((('Dane wejściowe'!B6*('Dane wejściowe'!B22*(1-('Dane wejściowe'!B7/100))+'Dane wejściowe'!B23*('Dane wejściowe'!B7/100))*(1+(('Dane wejściowe'!B8/200000)-1)*'Dane wejściowe'!B24))*75)-(('Dane wejściowe'!B6*('Dane wejściowe'!B12*(1-('Dane wejściowe'!B7/100))+'Dane wejściowe'!B13*('Dane wejściowe'!B7/100))*(1+(('Dane wejściowe'!B8/200000)-1)*'Dane wejściowe'!B24)*'Dane wejściowe'!B14)*75)-'Dane wejściowe'!B29)&gt;((('Dane wejściowe'!B6*('Dane wejściowe'!B22*(1-('Dane wejściowe'!B7/100))+'Dane wejściowe'!B23*('Dane wejściowe'!B7/100))*(1+(('Dane wejściowe'!B8/200000)-1)*'Dane wejściowe'!B24)*(1+'Dane wejściowe'!B19/100))*75)-(('Dane wejściowe'!B6*('Dane wejściowe'!B12*(1-('Dane wejściowe'!B7/100))+'Dane wejściowe'!B13*('Dane wejściowe'!B7/100))*(1+(('Dane wejściowe'!B8/200000)-1)*'Dane wejściowe'!B24)*'Dane wejściowe'!B14+'Dane wejściowe'!B17/MAX('Dane wejściowe'!B9,12)+'Dane wejściowe'!B18/MAX('Dane wejściowe'!B9,12))*75)-'Dane wejściowe'!B29),"SUB","ABO")</f>
        <v/>
      </c>
    </row>
    <row r="12" ht="18" customHeight="1">
      <c r="A12" s="73" t="n">
        <v>100</v>
      </c>
      <c r="B12" s="74">
        <f>('Dane wejściowe'!B6*('Dane wejściowe'!B22*(1-('Dane wejściowe'!B7/100))+'Dane wejściowe'!B23*('Dane wejściowe'!B7/100))*(1+(('Dane wejściowe'!B8/200000)-1)*'Dane wejściowe'!B24))*100</f>
        <v/>
      </c>
      <c r="C12" s="65">
        <f>(('Dane wejściowe'!B6*('Dane wejściowe'!B22*(1-('Dane wejściowe'!B7/100))+'Dane wejściowe'!B23*('Dane wejściowe'!B7/100))*(1+(('Dane wejściowe'!B8/200000)-1)*'Dane wejściowe'!B24))*100)-(('Dane wejściowe'!B6*('Dane wejściowe'!B12*(1-('Dane wejściowe'!B7/100))+'Dane wejściowe'!B13*('Dane wejściowe'!B7/100))*(1+(('Dane wejściowe'!B8/200000)-1)*'Dane wejściowe'!B24)*'Dane wejściowe'!B14)*100)-'Dane wejściowe'!B29</f>
        <v/>
      </c>
      <c r="D12" s="66">
        <f>IFERROR(((('Dane wejściowe'!B6*('Dane wejściowe'!B22*(1-('Dane wejściowe'!B7/100))+'Dane wejściowe'!B23*('Dane wejściowe'!B7/100))*(1+(('Dane wejściowe'!B8/200000)-1)*'Dane wejściowe'!B24))*100)-(('Dane wejściowe'!B6*('Dane wejściowe'!B12*(1-('Dane wejściowe'!B7/100))+'Dane wejściowe'!B13*('Dane wejściowe'!B7/100))*(1+(('Dane wejściowe'!B8/200000)-1)*'Dane wejściowe'!B24)*'Dane wejściowe'!B14)*100)-'Dane wejściowe'!B29)/(('Dane wejściowe'!B6*('Dane wejściowe'!B22*(1-('Dane wejściowe'!B7/100))+'Dane wejściowe'!B23*('Dane wejściowe'!B7/100))*(1+(('Dane wejściowe'!B8/200000)-1)*'Dane wejściowe'!B24))*100)*100,0)</f>
        <v/>
      </c>
      <c r="E12" s="67">
        <f>IFERROR(IF(((('Dane wejściowe'!B6*('Dane wejściowe'!B22*(1-('Dane wejściowe'!B7/100))+'Dane wejściowe'!B23*('Dane wejściowe'!B7/100))*(1+(('Dane wejściowe'!B8/200000)-1)*'Dane wejściowe'!B24))*100)-(('Dane wejściowe'!B6*('Dane wejściowe'!B12*(1-('Dane wejściowe'!B7/100))+'Dane wejściowe'!B13*('Dane wejściowe'!B7/100))*(1+(('Dane wejściowe'!B8/200000)-1)*'Dane wejściowe'!B24)*'Dane wejściowe'!B14)*100)-'Dane wejściowe'!B29)&gt;0,'Dane wejściowe'!B28/((('Dane wejściowe'!B6*('Dane wejściowe'!B22*(1-('Dane wejściowe'!B7/100))+'Dane wejściowe'!B23*('Dane wejściowe'!B7/100))*(1+(('Dane wejściowe'!B8/200000)-1)*'Dane wejściowe'!B24))*100)-(('Dane wejściowe'!B6*('Dane wejściowe'!B12*(1-('Dane wejściowe'!B7/100))+'Dane wejściowe'!B13*('Dane wejściowe'!B7/100))*(1+(('Dane wejściowe'!B8/200000)-1)*'Dane wejściowe'!B24)*'Dane wejściowe'!B14)*100)-'Dane wejściowe'!B29),"N/A"),"N/A")</f>
        <v/>
      </c>
      <c r="F12" s="75" t="inlineStr"/>
      <c r="G12" s="69">
        <f>(('Dane wejściowe'!B6*('Dane wejściowe'!B22*(1-('Dane wejściowe'!B7/100))+'Dane wejściowe'!B23*('Dane wejściowe'!B7/100))*(1+(('Dane wejściowe'!B8/200000)-1)*'Dane wejściowe'!B24)*(1+'Dane wejściowe'!B19/100))*100)-(('Dane wejściowe'!B6*('Dane wejściowe'!B12*(1-('Dane wejściowe'!B7/100))+'Dane wejściowe'!B13*('Dane wejściowe'!B7/100))*(1+(('Dane wejściowe'!B8/200000)-1)*'Dane wejściowe'!B24)*'Dane wejściowe'!B14+'Dane wejściowe'!B17/MAX('Dane wejściowe'!B9,12)+'Dane wejściowe'!B18/MAX('Dane wejściowe'!B9,12))*100)-'Dane wejściowe'!B29</f>
        <v/>
      </c>
      <c r="H12" s="70">
        <f>IFERROR(((('Dane wejściowe'!B6*('Dane wejściowe'!B22*(1-('Dane wejściowe'!B7/100))+'Dane wejściowe'!B23*('Dane wejściowe'!B7/100))*(1+(('Dane wejściowe'!B8/200000)-1)*'Dane wejściowe'!B24)*(1+'Dane wejściowe'!B19/100))*100)-(('Dane wejściowe'!B6*('Dane wejściowe'!B12*(1-('Dane wejściowe'!B7/100))+'Dane wejściowe'!B13*('Dane wejściowe'!B7/100))*(1+(('Dane wejściowe'!B8/200000)-1)*'Dane wejściowe'!B24)*'Dane wejściowe'!B14+'Dane wejściowe'!B17/MAX('Dane wejściowe'!B9,12)+'Dane wejściowe'!B18/MAX('Dane wejściowe'!B9,12))*100)-'Dane wejściowe'!B29)/(('Dane wejściowe'!B6*('Dane wejściowe'!B22*(1-('Dane wejściowe'!B7/100))+'Dane wejściowe'!B23*('Dane wejściowe'!B7/100))*(1+(('Dane wejściowe'!B8/200000)-1)*'Dane wejściowe'!B24)*(1+'Dane wejściowe'!B19/100))*100)*100,0)</f>
        <v/>
      </c>
      <c r="I12" s="71">
        <f>IFERROR(IF(((('Dane wejściowe'!B6*('Dane wejściowe'!B22*(1-('Dane wejściowe'!B7/100))+'Dane wejściowe'!B23*('Dane wejściowe'!B7/100))*(1+(('Dane wejściowe'!B8/200000)-1)*'Dane wejściowe'!B24)*(1+'Dane wejściowe'!B19/100))*100)-(('Dane wejściowe'!B6*('Dane wejściowe'!B12*(1-('Dane wejściowe'!B7/100))+'Dane wejściowe'!B13*('Dane wejściowe'!B7/100))*(1+(('Dane wejściowe'!B8/200000)-1)*'Dane wejściowe'!B24)*'Dane wejściowe'!B14+'Dane wejściowe'!B17/MAX('Dane wejściowe'!B9,12)+'Dane wejściowe'!B18/MAX('Dane wejściowe'!B9,12))*100)-'Dane wejściowe'!B29)&gt;0,'Dane wejściowe'!B28/((('Dane wejściowe'!B6*('Dane wejściowe'!B22*(1-('Dane wejściowe'!B7/100))+'Dane wejściowe'!B23*('Dane wejściowe'!B7/100))*(1+(('Dane wejściowe'!B8/200000)-1)*'Dane wejściowe'!B24)*(1+'Dane wejściowe'!B19/100))*100)-(('Dane wejściowe'!B6*('Dane wejściowe'!B12*(1-('Dane wejściowe'!B7/100))+'Dane wejściowe'!B13*('Dane wejściowe'!B7/100))*(1+(('Dane wejściowe'!B8/200000)-1)*'Dane wejściowe'!B24)*'Dane wejściowe'!B14+'Dane wejściowe'!B17/MAX('Dane wejściowe'!B9,12)+'Dane wejściowe'!B18/MAX('Dane wejściowe'!B9,12))*100)-'Dane wejściowe'!B29),"N/A"),"N/A")</f>
        <v/>
      </c>
      <c r="J12" s="74">
        <f>((('Dane wejściowe'!B6*('Dane wejściowe'!B22*(1-('Dane wejściowe'!B7/100))+'Dane wejściowe'!B23*('Dane wejściowe'!B7/100))*(1+(('Dane wejściowe'!B8/200000)-1)*'Dane wejściowe'!B24))*100)-(('Dane wejściowe'!B6*('Dane wejściowe'!B12*(1-('Dane wejściowe'!B7/100))+'Dane wejściowe'!B13*('Dane wejściowe'!B7/100))*(1+(('Dane wejściowe'!B8/200000)-1)*'Dane wejściowe'!B24)*'Dane wejściowe'!B14)*100)-'Dane wejściowe'!B29)-((('Dane wejściowe'!B6*('Dane wejściowe'!B22*(1-('Dane wejściowe'!B7/100))+'Dane wejściowe'!B23*('Dane wejściowe'!B7/100))*(1+(('Dane wejściowe'!B8/200000)-1)*'Dane wejściowe'!B24)*(1+'Dane wejściowe'!B19/100))*100)-(('Dane wejściowe'!B6*('Dane wejściowe'!B12*(1-('Dane wejściowe'!B7/100))+'Dane wejściowe'!B13*('Dane wejściowe'!B7/100))*(1+(('Dane wejściowe'!B8/200000)-1)*'Dane wejściowe'!B24)*'Dane wejściowe'!B14+'Dane wejściowe'!B17/MAX('Dane wejściowe'!B9,12)+'Dane wejściowe'!B18/MAX('Dane wejściowe'!B9,12))*100)-'Dane wejściowe'!B29)</f>
        <v/>
      </c>
      <c r="K12" s="76">
        <f>IF(((('Dane wejściowe'!B6*('Dane wejściowe'!B22*(1-('Dane wejściowe'!B7/100))+'Dane wejściowe'!B23*('Dane wejściowe'!B7/100))*(1+(('Dane wejściowe'!B8/200000)-1)*'Dane wejściowe'!B24))*100)-(('Dane wejściowe'!B6*('Dane wejściowe'!B12*(1-('Dane wejściowe'!B7/100))+'Dane wejściowe'!B13*('Dane wejściowe'!B7/100))*(1+(('Dane wejściowe'!B8/200000)-1)*'Dane wejściowe'!B24)*'Dane wejściowe'!B14)*100)-'Dane wejściowe'!B29)&gt;((('Dane wejściowe'!B6*('Dane wejściowe'!B22*(1-('Dane wejściowe'!B7/100))+'Dane wejściowe'!B23*('Dane wejściowe'!B7/100))*(1+(('Dane wejściowe'!B8/200000)-1)*'Dane wejściowe'!B24)*(1+'Dane wejściowe'!B19/100))*100)-(('Dane wejściowe'!B6*('Dane wejściowe'!B12*(1-('Dane wejściowe'!B7/100))+'Dane wejściowe'!B13*('Dane wejściowe'!B7/100))*(1+(('Dane wejściowe'!B8/200000)-1)*'Dane wejściowe'!B24)*'Dane wejściowe'!B14+'Dane wejściowe'!B17/MAX('Dane wejściowe'!B9,12)+'Dane wejściowe'!B18/MAX('Dane wejściowe'!B9,12))*100)-'Dane wejściowe'!B29),"SUB","ABO")</f>
        <v/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4" customWidth="1" min="6" max="6"/>
    <col width="18" customWidth="1" min="7" max="7"/>
    <col width="18" customWidth="1" min="8" max="8"/>
    <col width="14" customWidth="1" min="9" max="9"/>
  </cols>
  <sheetData>
    <row r="1" ht="26" customHeight="1">
      <c r="A1" s="62" t="inlineStr">
        <is>
          <t>AdRide — Wrażliwość na km / mies. (marża SUB vs ABO, przy aktualnej wartości auta)</t>
        </is>
      </c>
    </row>
    <row r="2" ht="20" customHeight="1">
      <c r="A2" s="77" t="inlineStr">
        <is>
          <t>SUBSKRYPCYJNY (brak kosztów oklejenia dla AdRide)</t>
        </is>
      </c>
      <c r="G2" s="78" t="inlineStr">
        <is>
          <t>ABONAMENTOWY (wrapAmort wliczone w marżę)</t>
        </is>
      </c>
    </row>
    <row r="3" ht="18" customHeight="1">
      <c r="A3" s="4" t="inlineStr">
        <is>
          <t>km / mies.</t>
        </is>
      </c>
      <c r="B3" s="4" t="inlineStr">
        <is>
          <t>Payout kierowcy</t>
        </is>
      </c>
      <c r="C3" s="4" t="inlineStr">
        <is>
          <t>Przychód platf.</t>
        </is>
      </c>
      <c r="D3" s="4" t="inlineStr">
        <is>
          <t>Marża brutto</t>
        </is>
      </c>
      <c r="E3" s="4" t="inlineStr">
        <is>
          <t>Marża %</t>
        </is>
      </c>
      <c r="F3" s="4" t="inlineStr"/>
      <c r="G3" s="4" t="inlineStr">
        <is>
          <t>Payout kierowcy</t>
        </is>
      </c>
      <c r="H3" s="4" t="inlineStr">
        <is>
          <t>Marża brutto (z okl.)</t>
        </is>
      </c>
      <c r="I3" s="4" t="inlineStr">
        <is>
          <t>Marża %</t>
        </is>
      </c>
    </row>
    <row r="4" ht="18" customHeight="1">
      <c r="A4" s="79" t="n">
        <v>200</v>
      </c>
      <c r="B4" s="80">
        <f>200*('Dane wejściowe'!B12*(1-('Dane wejściowe'!B7/100))+'Dane wejściowe'!B13*('Dane wejściowe'!B7/100))*(1+(('Dane wejściowe'!B8/200000)-1)*'Dane wejściowe'!B24)*'Dane wejściowe'!B14</f>
        <v/>
      </c>
      <c r="C4" s="81">
        <f>200*('Dane wejściowe'!B22*(1-('Dane wejściowe'!B7/100))+'Dane wejściowe'!B23*('Dane wejściowe'!B7/100))*(1+(('Dane wejściowe'!B8/200000)-1)*'Dane wejściowe'!B24)</f>
        <v/>
      </c>
      <c r="D4" s="65">
        <f>(200*('Dane wejściowe'!B22*(1-('Dane wejściowe'!B7/100))+'Dane wejściowe'!B23*('Dane wejściowe'!B7/100))*(1+(('Dane wejściowe'!B8/200000)-1)*'Dane wejściowe'!B24))-(200*('Dane wejściowe'!B12*(1-('Dane wejściowe'!B7/100))+'Dane wejściowe'!B13*('Dane wejściowe'!B7/100))*(1+(('Dane wejściowe'!B8/200000)-1)*'Dane wejściowe'!B24)*'Dane wejściowe'!B14)</f>
        <v/>
      </c>
      <c r="E4" s="66">
        <f>IFERROR(((200*('Dane wejściowe'!B22*(1-('Dane wejściowe'!B7/100))+'Dane wejściowe'!B23*('Dane wejściowe'!B7/100))*(1+(('Dane wejściowe'!B8/200000)-1)*'Dane wejściowe'!B24))-(200*('Dane wejściowe'!B12*(1-('Dane wejściowe'!B7/100))+'Dane wejściowe'!B13*('Dane wejściowe'!B7/100))*(1+(('Dane wejściowe'!B8/200000)-1)*'Dane wejściowe'!B24)*'Dane wejściowe'!B14))/(200*('Dane wejściowe'!B22*(1-('Dane wejściowe'!B7/100))+'Dane wejściowe'!B23*('Dane wejściowe'!B7/100))*(1+(('Dane wejściowe'!B8/200000)-1)*'Dane wejściowe'!B24))*100,0)</f>
        <v/>
      </c>
      <c r="F4" s="75" t="inlineStr"/>
      <c r="G4" s="80">
        <f>200*('Dane wejściowe'!B12*(1-('Dane wejściowe'!B7/100))+'Dane wejściowe'!B13*('Dane wejściowe'!B7/100))*(1+(('Dane wejściowe'!B8/200000)-1)*'Dane wejściowe'!B24)*'Dane wejściowe'!B14</f>
        <v/>
      </c>
      <c r="H4" s="69">
        <f>((200*('Dane wejściowe'!B22*(1-('Dane wejściowe'!B7/100))+'Dane wejściowe'!B23*('Dane wejściowe'!B7/100))*(1+(('Dane wejściowe'!B8/200000)-1)*'Dane wejściowe'!B24))*(1+'Dane wejściowe'!B19/100))-(200*('Dane wejściowe'!B12*(1-('Dane wejściowe'!B7/100))+'Dane wejściowe'!B13*('Dane wejściowe'!B7/100))*(1+(('Dane wejściowe'!B8/200000)-1)*'Dane wejściowe'!B24)*'Dane wejściowe'!B14)-'Dane wejściowe'!B17/MAX('Dane wejściowe'!B9,12)-'Dane wejściowe'!B18/MAX('Dane wejściowe'!B9,12)</f>
        <v/>
      </c>
      <c r="I4" s="70">
        <f>IFERROR((((200*('Dane wejściowe'!B22*(1-('Dane wejściowe'!B7/100))+'Dane wejściowe'!B23*('Dane wejściowe'!B7/100))*(1+(('Dane wejściowe'!B8/200000)-1)*'Dane wejściowe'!B24))*(1+'Dane wejściowe'!B19/100))-(200*('Dane wejściowe'!B12*(1-('Dane wejściowe'!B7/100))+'Dane wejściowe'!B13*('Dane wejściowe'!B7/100))*(1+(('Dane wejściowe'!B8/200000)-1)*'Dane wejściowe'!B24)*'Dane wejściowe'!B14)-'Dane wejściowe'!B17/MAX('Dane wejściowe'!B9,12)-'Dane wejściowe'!B18/MAX('Dane wejściowe'!B9,12))/((200*('Dane wejściowe'!B22*(1-('Dane wejściowe'!B7/100))+'Dane wejściowe'!B23*('Dane wejściowe'!B7/100))*(1+(('Dane wejściowe'!B8/200000)-1)*'Dane wejściowe'!B24))*(1+'Dane wejściowe'!B19/100))*100,0)</f>
        <v/>
      </c>
    </row>
    <row r="5" ht="18" customHeight="1">
      <c r="A5" s="19" t="n">
        <v>500</v>
      </c>
      <c r="B5" s="80">
        <f>500*('Dane wejściowe'!B12*(1-('Dane wejściowe'!B7/100))+'Dane wejściowe'!B13*('Dane wejściowe'!B7/100))*(1+(('Dane wejściowe'!B8/200000)-1)*'Dane wejściowe'!B24)*'Dane wejściowe'!B14</f>
        <v/>
      </c>
      <c r="C5" s="81">
        <f>500*('Dane wejściowe'!B22*(1-('Dane wejściowe'!B7/100))+'Dane wejściowe'!B23*('Dane wejściowe'!B7/100))*(1+(('Dane wejściowe'!B8/200000)-1)*'Dane wejściowe'!B24)</f>
        <v/>
      </c>
      <c r="D5" s="65">
        <f>(500*('Dane wejściowe'!B22*(1-('Dane wejściowe'!B7/100))+'Dane wejściowe'!B23*('Dane wejściowe'!B7/100))*(1+(('Dane wejściowe'!B8/200000)-1)*'Dane wejściowe'!B24))-(500*('Dane wejściowe'!B12*(1-('Dane wejściowe'!B7/100))+'Dane wejściowe'!B13*('Dane wejściowe'!B7/100))*(1+(('Dane wejściowe'!B8/200000)-1)*'Dane wejściowe'!B24)*'Dane wejściowe'!B14)</f>
        <v/>
      </c>
      <c r="E5" s="66">
        <f>IFERROR(((500*('Dane wejściowe'!B22*(1-('Dane wejściowe'!B7/100))+'Dane wejściowe'!B23*('Dane wejściowe'!B7/100))*(1+(('Dane wejściowe'!B8/200000)-1)*'Dane wejściowe'!B24))-(500*('Dane wejściowe'!B12*(1-('Dane wejściowe'!B7/100))+'Dane wejściowe'!B13*('Dane wejściowe'!B7/100))*(1+(('Dane wejściowe'!B8/200000)-1)*'Dane wejściowe'!B24)*'Dane wejściowe'!B14))/(500*('Dane wejściowe'!B22*(1-('Dane wejściowe'!B7/100))+'Dane wejściowe'!B23*('Dane wejściowe'!B7/100))*(1+(('Dane wejściowe'!B8/200000)-1)*'Dane wejściowe'!B24))*100,0)</f>
        <v/>
      </c>
      <c r="F5" s="68" t="inlineStr"/>
      <c r="G5" s="80">
        <f>500*('Dane wejściowe'!B12*(1-('Dane wejściowe'!B7/100))+'Dane wejściowe'!B13*('Dane wejściowe'!B7/100))*(1+(('Dane wejściowe'!B8/200000)-1)*'Dane wejściowe'!B24)*'Dane wejściowe'!B14</f>
        <v/>
      </c>
      <c r="H5" s="69">
        <f>((500*('Dane wejściowe'!B22*(1-('Dane wejściowe'!B7/100))+'Dane wejściowe'!B23*('Dane wejściowe'!B7/100))*(1+(('Dane wejściowe'!B8/200000)-1)*'Dane wejściowe'!B24))*(1+'Dane wejściowe'!B19/100))-(500*('Dane wejściowe'!B12*(1-('Dane wejściowe'!B7/100))+'Dane wejściowe'!B13*('Dane wejściowe'!B7/100))*(1+(('Dane wejściowe'!B8/200000)-1)*'Dane wejściowe'!B24)*'Dane wejściowe'!B14)-'Dane wejściowe'!B17/MAX('Dane wejściowe'!B9,12)-'Dane wejściowe'!B18/MAX('Dane wejściowe'!B9,12)</f>
        <v/>
      </c>
      <c r="I5" s="70">
        <f>IFERROR((((500*('Dane wejściowe'!B22*(1-('Dane wejściowe'!B7/100))+'Dane wejściowe'!B23*('Dane wejściowe'!B7/100))*(1+(('Dane wejściowe'!B8/200000)-1)*'Dane wejściowe'!B24))*(1+'Dane wejściowe'!B19/100))-(500*('Dane wejściowe'!B12*(1-('Dane wejściowe'!B7/100))+'Dane wejściowe'!B13*('Dane wejściowe'!B7/100))*(1+(('Dane wejściowe'!B8/200000)-1)*'Dane wejściowe'!B24)*'Dane wejściowe'!B14)-'Dane wejściowe'!B17/MAX('Dane wejściowe'!B9,12)-'Dane wejściowe'!B18/MAX('Dane wejściowe'!B9,12))/((500*('Dane wejściowe'!B22*(1-('Dane wejściowe'!B7/100))+'Dane wejściowe'!B23*('Dane wejściowe'!B7/100))*(1+(('Dane wejściowe'!B8/200000)-1)*'Dane wejściowe'!B24))*(1+'Dane wejściowe'!B19/100))*100,0)</f>
        <v/>
      </c>
    </row>
    <row r="6" ht="18" customHeight="1">
      <c r="A6" s="79" t="n">
        <v>1000</v>
      </c>
      <c r="B6" s="80">
        <f>1000*('Dane wejściowe'!B12*(1-('Dane wejściowe'!B7/100))+'Dane wejściowe'!B13*('Dane wejściowe'!B7/100))*(1+(('Dane wejściowe'!B8/200000)-1)*'Dane wejściowe'!B24)*'Dane wejściowe'!B14</f>
        <v/>
      </c>
      <c r="C6" s="81">
        <f>1000*('Dane wejściowe'!B22*(1-('Dane wejściowe'!B7/100))+'Dane wejściowe'!B23*('Dane wejściowe'!B7/100))*(1+(('Dane wejściowe'!B8/200000)-1)*'Dane wejściowe'!B24)</f>
        <v/>
      </c>
      <c r="D6" s="65">
        <f>(1000*('Dane wejściowe'!B22*(1-('Dane wejściowe'!B7/100))+'Dane wejściowe'!B23*('Dane wejściowe'!B7/100))*(1+(('Dane wejściowe'!B8/200000)-1)*'Dane wejściowe'!B24))-(1000*('Dane wejściowe'!B12*(1-('Dane wejściowe'!B7/100))+'Dane wejściowe'!B13*('Dane wejściowe'!B7/100))*(1+(('Dane wejściowe'!B8/200000)-1)*'Dane wejściowe'!B24)*'Dane wejściowe'!B14)</f>
        <v/>
      </c>
      <c r="E6" s="66">
        <f>IFERROR(((1000*('Dane wejściowe'!B22*(1-('Dane wejściowe'!B7/100))+'Dane wejściowe'!B23*('Dane wejściowe'!B7/100))*(1+(('Dane wejściowe'!B8/200000)-1)*'Dane wejściowe'!B24))-(1000*('Dane wejściowe'!B12*(1-('Dane wejściowe'!B7/100))+'Dane wejściowe'!B13*('Dane wejściowe'!B7/100))*(1+(('Dane wejściowe'!B8/200000)-1)*'Dane wejściowe'!B24)*'Dane wejściowe'!B14))/(1000*('Dane wejściowe'!B22*(1-('Dane wejściowe'!B7/100))+'Dane wejściowe'!B23*('Dane wejściowe'!B7/100))*(1+(('Dane wejściowe'!B8/200000)-1)*'Dane wejściowe'!B24))*100,0)</f>
        <v/>
      </c>
      <c r="F6" s="75" t="inlineStr"/>
      <c r="G6" s="80">
        <f>1000*('Dane wejściowe'!B12*(1-('Dane wejściowe'!B7/100))+'Dane wejściowe'!B13*('Dane wejściowe'!B7/100))*(1+(('Dane wejściowe'!B8/200000)-1)*'Dane wejściowe'!B24)*'Dane wejściowe'!B14</f>
        <v/>
      </c>
      <c r="H6" s="69">
        <f>((1000*('Dane wejściowe'!B22*(1-('Dane wejściowe'!B7/100))+'Dane wejściowe'!B23*('Dane wejściowe'!B7/100))*(1+(('Dane wejściowe'!B8/200000)-1)*'Dane wejściowe'!B24))*(1+'Dane wejściowe'!B19/100))-(1000*('Dane wejściowe'!B12*(1-('Dane wejściowe'!B7/100))+'Dane wejściowe'!B13*('Dane wejściowe'!B7/100))*(1+(('Dane wejściowe'!B8/200000)-1)*'Dane wejściowe'!B24)*'Dane wejściowe'!B14)-'Dane wejściowe'!B17/MAX('Dane wejściowe'!B9,12)-'Dane wejściowe'!B18/MAX('Dane wejściowe'!B9,12)</f>
        <v/>
      </c>
      <c r="I6" s="70">
        <f>IFERROR((((1000*('Dane wejściowe'!B22*(1-('Dane wejściowe'!B7/100))+'Dane wejściowe'!B23*('Dane wejściowe'!B7/100))*(1+(('Dane wejściowe'!B8/200000)-1)*'Dane wejściowe'!B24))*(1+'Dane wejściowe'!B19/100))-(1000*('Dane wejściowe'!B12*(1-('Dane wejściowe'!B7/100))+'Dane wejściowe'!B13*('Dane wejściowe'!B7/100))*(1+(('Dane wejściowe'!B8/200000)-1)*'Dane wejściowe'!B24)*'Dane wejściowe'!B14)-'Dane wejściowe'!B17/MAX('Dane wejściowe'!B9,12)-'Dane wejściowe'!B18/MAX('Dane wejściowe'!B9,12))/((1000*('Dane wejściowe'!B22*(1-('Dane wejściowe'!B7/100))+'Dane wejściowe'!B23*('Dane wejściowe'!B7/100))*(1+(('Dane wejściowe'!B8/200000)-1)*'Dane wejściowe'!B24))*(1+'Dane wejściowe'!B19/100))*100,0)</f>
        <v/>
      </c>
    </row>
    <row r="7" ht="18" customHeight="1">
      <c r="A7" s="19" t="n">
        <v>2000</v>
      </c>
      <c r="B7" s="80">
        <f>2000*('Dane wejściowe'!B12*(1-('Dane wejściowe'!B7/100))+'Dane wejściowe'!B13*('Dane wejściowe'!B7/100))*(1+(('Dane wejściowe'!B8/200000)-1)*'Dane wejściowe'!B24)*'Dane wejściowe'!B14</f>
        <v/>
      </c>
      <c r="C7" s="81">
        <f>2000*('Dane wejściowe'!B22*(1-('Dane wejściowe'!B7/100))+'Dane wejściowe'!B23*('Dane wejściowe'!B7/100))*(1+(('Dane wejściowe'!B8/200000)-1)*'Dane wejściowe'!B24)</f>
        <v/>
      </c>
      <c r="D7" s="65">
        <f>(2000*('Dane wejściowe'!B22*(1-('Dane wejściowe'!B7/100))+'Dane wejściowe'!B23*('Dane wejściowe'!B7/100))*(1+(('Dane wejściowe'!B8/200000)-1)*'Dane wejściowe'!B24))-(2000*('Dane wejściowe'!B12*(1-('Dane wejściowe'!B7/100))+'Dane wejściowe'!B13*('Dane wejściowe'!B7/100))*(1+(('Dane wejściowe'!B8/200000)-1)*'Dane wejściowe'!B24)*'Dane wejściowe'!B14)</f>
        <v/>
      </c>
      <c r="E7" s="66">
        <f>IFERROR(((2000*('Dane wejściowe'!B22*(1-('Dane wejściowe'!B7/100))+'Dane wejściowe'!B23*('Dane wejściowe'!B7/100))*(1+(('Dane wejściowe'!B8/200000)-1)*'Dane wejściowe'!B24))-(2000*('Dane wejściowe'!B12*(1-('Dane wejściowe'!B7/100))+'Dane wejściowe'!B13*('Dane wejściowe'!B7/100))*(1+(('Dane wejściowe'!B8/200000)-1)*'Dane wejściowe'!B24)*'Dane wejściowe'!B14))/(2000*('Dane wejściowe'!B22*(1-('Dane wejściowe'!B7/100))+'Dane wejściowe'!B23*('Dane wejściowe'!B7/100))*(1+(('Dane wejściowe'!B8/200000)-1)*'Dane wejściowe'!B24))*100,0)</f>
        <v/>
      </c>
      <c r="F7" s="68" t="inlineStr"/>
      <c r="G7" s="80">
        <f>2000*('Dane wejściowe'!B12*(1-('Dane wejściowe'!B7/100))+'Dane wejściowe'!B13*('Dane wejściowe'!B7/100))*(1+(('Dane wejściowe'!B8/200000)-1)*'Dane wejściowe'!B24)*'Dane wejściowe'!B14</f>
        <v/>
      </c>
      <c r="H7" s="69">
        <f>((2000*('Dane wejściowe'!B22*(1-('Dane wejściowe'!B7/100))+'Dane wejściowe'!B23*('Dane wejściowe'!B7/100))*(1+(('Dane wejściowe'!B8/200000)-1)*'Dane wejściowe'!B24))*(1+'Dane wejściowe'!B19/100))-(2000*('Dane wejściowe'!B12*(1-('Dane wejściowe'!B7/100))+'Dane wejściowe'!B13*('Dane wejściowe'!B7/100))*(1+(('Dane wejściowe'!B8/200000)-1)*'Dane wejściowe'!B24)*'Dane wejściowe'!B14)-'Dane wejściowe'!B17/MAX('Dane wejściowe'!B9,12)-'Dane wejściowe'!B18/MAX('Dane wejściowe'!B9,12)</f>
        <v/>
      </c>
      <c r="I7" s="70">
        <f>IFERROR((((2000*('Dane wejściowe'!B22*(1-('Dane wejściowe'!B7/100))+'Dane wejściowe'!B23*('Dane wejściowe'!B7/100))*(1+(('Dane wejściowe'!B8/200000)-1)*'Dane wejściowe'!B24))*(1+'Dane wejściowe'!B19/100))-(2000*('Dane wejściowe'!B12*(1-('Dane wejściowe'!B7/100))+'Dane wejściowe'!B13*('Dane wejściowe'!B7/100))*(1+(('Dane wejściowe'!B8/200000)-1)*'Dane wejściowe'!B24)*'Dane wejściowe'!B14)-'Dane wejściowe'!B17/MAX('Dane wejściowe'!B9,12)-'Dane wejściowe'!B18/MAX('Dane wejściowe'!B9,12))/((2000*('Dane wejściowe'!B22*(1-('Dane wejściowe'!B7/100))+'Dane wejściowe'!B23*('Dane wejściowe'!B7/100))*(1+(('Dane wejściowe'!B8/200000)-1)*'Dane wejściowe'!B24))*(1+'Dane wejściowe'!B19/100))*100,0)</f>
        <v/>
      </c>
    </row>
    <row r="8" ht="18" customHeight="1">
      <c r="A8" s="79" t="n">
        <v>3000</v>
      </c>
      <c r="B8" s="80">
        <f>3000*('Dane wejściowe'!B12*(1-('Dane wejściowe'!B7/100))+'Dane wejściowe'!B13*('Dane wejściowe'!B7/100))*(1+(('Dane wejściowe'!B8/200000)-1)*'Dane wejściowe'!B24)*'Dane wejściowe'!B14</f>
        <v/>
      </c>
      <c r="C8" s="81">
        <f>3000*('Dane wejściowe'!B22*(1-('Dane wejściowe'!B7/100))+'Dane wejściowe'!B23*('Dane wejściowe'!B7/100))*(1+(('Dane wejściowe'!B8/200000)-1)*'Dane wejściowe'!B24)</f>
        <v/>
      </c>
      <c r="D8" s="65">
        <f>(3000*('Dane wejściowe'!B22*(1-('Dane wejściowe'!B7/100))+'Dane wejściowe'!B23*('Dane wejściowe'!B7/100))*(1+(('Dane wejściowe'!B8/200000)-1)*'Dane wejściowe'!B24))-(3000*('Dane wejściowe'!B12*(1-('Dane wejściowe'!B7/100))+'Dane wejściowe'!B13*('Dane wejściowe'!B7/100))*(1+(('Dane wejściowe'!B8/200000)-1)*'Dane wejściowe'!B24)*'Dane wejściowe'!B14)</f>
        <v/>
      </c>
      <c r="E8" s="66">
        <f>IFERROR(((3000*('Dane wejściowe'!B22*(1-('Dane wejściowe'!B7/100))+'Dane wejściowe'!B23*('Dane wejściowe'!B7/100))*(1+(('Dane wejściowe'!B8/200000)-1)*'Dane wejściowe'!B24))-(3000*('Dane wejściowe'!B12*(1-('Dane wejściowe'!B7/100))+'Dane wejściowe'!B13*('Dane wejściowe'!B7/100))*(1+(('Dane wejściowe'!B8/200000)-1)*'Dane wejściowe'!B24)*'Dane wejściowe'!B14))/(3000*('Dane wejściowe'!B22*(1-('Dane wejściowe'!B7/100))+'Dane wejściowe'!B23*('Dane wejściowe'!B7/100))*(1+(('Dane wejściowe'!B8/200000)-1)*'Dane wejściowe'!B24))*100,0)</f>
        <v/>
      </c>
      <c r="F8" s="75" t="inlineStr"/>
      <c r="G8" s="80">
        <f>3000*('Dane wejściowe'!B12*(1-('Dane wejściowe'!B7/100))+'Dane wejściowe'!B13*('Dane wejściowe'!B7/100))*(1+(('Dane wejściowe'!B8/200000)-1)*'Dane wejściowe'!B24)*'Dane wejściowe'!B14</f>
        <v/>
      </c>
      <c r="H8" s="69">
        <f>((3000*('Dane wejściowe'!B22*(1-('Dane wejściowe'!B7/100))+'Dane wejściowe'!B23*('Dane wejściowe'!B7/100))*(1+(('Dane wejściowe'!B8/200000)-1)*'Dane wejściowe'!B24))*(1+'Dane wejściowe'!B19/100))-(3000*('Dane wejściowe'!B12*(1-('Dane wejściowe'!B7/100))+'Dane wejściowe'!B13*('Dane wejściowe'!B7/100))*(1+(('Dane wejściowe'!B8/200000)-1)*'Dane wejściowe'!B24)*'Dane wejściowe'!B14)-'Dane wejściowe'!B17/MAX('Dane wejściowe'!B9,12)-'Dane wejściowe'!B18/MAX('Dane wejściowe'!B9,12)</f>
        <v/>
      </c>
      <c r="I8" s="70">
        <f>IFERROR((((3000*('Dane wejściowe'!B22*(1-('Dane wejściowe'!B7/100))+'Dane wejściowe'!B23*('Dane wejściowe'!B7/100))*(1+(('Dane wejściowe'!B8/200000)-1)*'Dane wejściowe'!B24))*(1+'Dane wejściowe'!B19/100))-(3000*('Dane wejściowe'!B12*(1-('Dane wejściowe'!B7/100))+'Dane wejściowe'!B13*('Dane wejściowe'!B7/100))*(1+(('Dane wejściowe'!B8/200000)-1)*'Dane wejściowe'!B24)*'Dane wejściowe'!B14)-'Dane wejściowe'!B17/MAX('Dane wejściowe'!B9,12)-'Dane wejściowe'!B18/MAX('Dane wejściowe'!B9,12))/((3000*('Dane wejściowe'!B22*(1-('Dane wejściowe'!B7/100))+'Dane wejściowe'!B23*('Dane wejściowe'!B7/100))*(1+(('Dane wejściowe'!B8/200000)-1)*'Dane wejściowe'!B24))*(1+'Dane wejściowe'!B19/100))*100,0)</f>
        <v/>
      </c>
    </row>
    <row r="9" ht="18" customHeight="1">
      <c r="A9" s="19" t="n">
        <v>5000</v>
      </c>
      <c r="B9" s="80">
        <f>5000*('Dane wejściowe'!B12*(1-('Dane wejściowe'!B7/100))+'Dane wejściowe'!B13*('Dane wejściowe'!B7/100))*(1+(('Dane wejściowe'!B8/200000)-1)*'Dane wejściowe'!B24)*'Dane wejściowe'!B14</f>
        <v/>
      </c>
      <c r="C9" s="81">
        <f>5000*('Dane wejściowe'!B22*(1-('Dane wejściowe'!B7/100))+'Dane wejściowe'!B23*('Dane wejściowe'!B7/100))*(1+(('Dane wejściowe'!B8/200000)-1)*'Dane wejściowe'!B24)</f>
        <v/>
      </c>
      <c r="D9" s="65">
        <f>(5000*('Dane wejściowe'!B22*(1-('Dane wejściowe'!B7/100))+'Dane wejściowe'!B23*('Dane wejściowe'!B7/100))*(1+(('Dane wejściowe'!B8/200000)-1)*'Dane wejściowe'!B24))-(5000*('Dane wejściowe'!B12*(1-('Dane wejściowe'!B7/100))+'Dane wejściowe'!B13*('Dane wejściowe'!B7/100))*(1+(('Dane wejściowe'!B8/200000)-1)*'Dane wejściowe'!B24)*'Dane wejściowe'!B14)</f>
        <v/>
      </c>
      <c r="E9" s="66">
        <f>IFERROR(((5000*('Dane wejściowe'!B22*(1-('Dane wejściowe'!B7/100))+'Dane wejściowe'!B23*('Dane wejściowe'!B7/100))*(1+(('Dane wejściowe'!B8/200000)-1)*'Dane wejściowe'!B24))-(5000*('Dane wejściowe'!B12*(1-('Dane wejściowe'!B7/100))+'Dane wejściowe'!B13*('Dane wejściowe'!B7/100))*(1+(('Dane wejściowe'!B8/200000)-1)*'Dane wejściowe'!B24)*'Dane wejściowe'!B14))/(5000*('Dane wejściowe'!B22*(1-('Dane wejściowe'!B7/100))+'Dane wejściowe'!B23*('Dane wejściowe'!B7/100))*(1+(('Dane wejściowe'!B8/200000)-1)*'Dane wejściowe'!B24))*100,0)</f>
        <v/>
      </c>
      <c r="F9" s="68" t="inlineStr"/>
      <c r="G9" s="80">
        <f>5000*('Dane wejściowe'!B12*(1-('Dane wejściowe'!B7/100))+'Dane wejściowe'!B13*('Dane wejściowe'!B7/100))*(1+(('Dane wejściowe'!B8/200000)-1)*'Dane wejściowe'!B24)*'Dane wejściowe'!B14</f>
        <v/>
      </c>
      <c r="H9" s="69">
        <f>((5000*('Dane wejściowe'!B22*(1-('Dane wejściowe'!B7/100))+'Dane wejściowe'!B23*('Dane wejściowe'!B7/100))*(1+(('Dane wejściowe'!B8/200000)-1)*'Dane wejściowe'!B24))*(1+'Dane wejściowe'!B19/100))-(5000*('Dane wejściowe'!B12*(1-('Dane wejściowe'!B7/100))+'Dane wejściowe'!B13*('Dane wejściowe'!B7/100))*(1+(('Dane wejściowe'!B8/200000)-1)*'Dane wejściowe'!B24)*'Dane wejściowe'!B14)-'Dane wejściowe'!B17/MAX('Dane wejściowe'!B9,12)-'Dane wejściowe'!B18/MAX('Dane wejściowe'!B9,12)</f>
        <v/>
      </c>
      <c r="I9" s="70">
        <f>IFERROR((((5000*('Dane wejściowe'!B22*(1-('Dane wejściowe'!B7/100))+'Dane wejściowe'!B23*('Dane wejściowe'!B7/100))*(1+(('Dane wejściowe'!B8/200000)-1)*'Dane wejściowe'!B24))*(1+'Dane wejściowe'!B19/100))-(5000*('Dane wejściowe'!B12*(1-('Dane wejściowe'!B7/100))+'Dane wejściowe'!B13*('Dane wejściowe'!B7/100))*(1+(('Dane wejściowe'!B8/200000)-1)*'Dane wejściowe'!B24)*'Dane wejściowe'!B14)-'Dane wejściowe'!B17/MAX('Dane wejściowe'!B9,12)-'Dane wejściowe'!B18/MAX('Dane wejściowe'!B9,12))/((5000*('Dane wejściowe'!B22*(1-('Dane wejściowe'!B7/100))+'Dane wejściowe'!B23*('Dane wejściowe'!B7/100))*(1+(('Dane wejściowe'!B8/200000)-1)*'Dane wejściowe'!B24))*(1+'Dane wejściowe'!B19/100))*100,0)</f>
        <v/>
      </c>
    </row>
    <row r="10" ht="18" customHeight="1">
      <c r="A10" s="79" t="n">
        <v>7500</v>
      </c>
      <c r="B10" s="80">
        <f>7500*('Dane wejściowe'!B12*(1-('Dane wejściowe'!B7/100))+'Dane wejściowe'!B13*('Dane wejściowe'!B7/100))*(1+(('Dane wejściowe'!B8/200000)-1)*'Dane wejściowe'!B24)*'Dane wejściowe'!B14</f>
        <v/>
      </c>
      <c r="C10" s="81">
        <f>7500*('Dane wejściowe'!B22*(1-('Dane wejściowe'!B7/100))+'Dane wejściowe'!B23*('Dane wejściowe'!B7/100))*(1+(('Dane wejściowe'!B8/200000)-1)*'Dane wejściowe'!B24)</f>
        <v/>
      </c>
      <c r="D10" s="65">
        <f>(7500*('Dane wejściowe'!B22*(1-('Dane wejściowe'!B7/100))+'Dane wejściowe'!B23*('Dane wejściowe'!B7/100))*(1+(('Dane wejściowe'!B8/200000)-1)*'Dane wejściowe'!B24))-(7500*('Dane wejściowe'!B12*(1-('Dane wejściowe'!B7/100))+'Dane wejściowe'!B13*('Dane wejściowe'!B7/100))*(1+(('Dane wejściowe'!B8/200000)-1)*'Dane wejściowe'!B24)*'Dane wejściowe'!B14)</f>
        <v/>
      </c>
      <c r="E10" s="66">
        <f>IFERROR(((7500*('Dane wejściowe'!B22*(1-('Dane wejściowe'!B7/100))+'Dane wejściowe'!B23*('Dane wejściowe'!B7/100))*(1+(('Dane wejściowe'!B8/200000)-1)*'Dane wejściowe'!B24))-(7500*('Dane wejściowe'!B12*(1-('Dane wejściowe'!B7/100))+'Dane wejściowe'!B13*('Dane wejściowe'!B7/100))*(1+(('Dane wejściowe'!B8/200000)-1)*'Dane wejściowe'!B24)*'Dane wejściowe'!B14))/(7500*('Dane wejściowe'!B22*(1-('Dane wejściowe'!B7/100))+'Dane wejściowe'!B23*('Dane wejściowe'!B7/100))*(1+(('Dane wejściowe'!B8/200000)-1)*'Dane wejściowe'!B24))*100,0)</f>
        <v/>
      </c>
      <c r="F10" s="75" t="inlineStr"/>
      <c r="G10" s="80">
        <f>7500*('Dane wejściowe'!B12*(1-('Dane wejściowe'!B7/100))+'Dane wejściowe'!B13*('Dane wejściowe'!B7/100))*(1+(('Dane wejściowe'!B8/200000)-1)*'Dane wejściowe'!B24)*'Dane wejściowe'!B14</f>
        <v/>
      </c>
      <c r="H10" s="69">
        <f>((7500*('Dane wejściowe'!B22*(1-('Dane wejściowe'!B7/100))+'Dane wejściowe'!B23*('Dane wejściowe'!B7/100))*(1+(('Dane wejściowe'!B8/200000)-1)*'Dane wejściowe'!B24))*(1+'Dane wejściowe'!B19/100))-(7500*('Dane wejściowe'!B12*(1-('Dane wejściowe'!B7/100))+'Dane wejściowe'!B13*('Dane wejściowe'!B7/100))*(1+(('Dane wejściowe'!B8/200000)-1)*'Dane wejściowe'!B24)*'Dane wejściowe'!B14)-'Dane wejściowe'!B17/MAX('Dane wejściowe'!B9,12)-'Dane wejściowe'!B18/MAX('Dane wejściowe'!B9,12)</f>
        <v/>
      </c>
      <c r="I10" s="70">
        <f>IFERROR((((7500*('Dane wejściowe'!B22*(1-('Dane wejściowe'!B7/100))+'Dane wejściowe'!B23*('Dane wejściowe'!B7/100))*(1+(('Dane wejściowe'!B8/200000)-1)*'Dane wejściowe'!B24))*(1+'Dane wejściowe'!B19/100))-(7500*('Dane wejściowe'!B12*(1-('Dane wejściowe'!B7/100))+'Dane wejściowe'!B13*('Dane wejściowe'!B7/100))*(1+(('Dane wejściowe'!B8/200000)-1)*'Dane wejściowe'!B24)*'Dane wejściowe'!B14)-'Dane wejściowe'!B17/MAX('Dane wejściowe'!B9,12)-'Dane wejściowe'!B18/MAX('Dane wejściowe'!B9,12))/((7500*('Dane wejściowe'!B22*(1-('Dane wejściowe'!B7/100))+'Dane wejściowe'!B23*('Dane wejściowe'!B7/100))*(1+(('Dane wejściowe'!B8/200000)-1)*'Dane wejściowe'!B24))*(1+'Dane wejściowe'!B19/100))*100,0)</f>
        <v/>
      </c>
    </row>
    <row r="11" ht="18" customHeight="1">
      <c r="A11" s="19" t="n">
        <v>10000</v>
      </c>
      <c r="B11" s="80">
        <f>10000*('Dane wejściowe'!B12*(1-('Dane wejściowe'!B7/100))+'Dane wejściowe'!B13*('Dane wejściowe'!B7/100))*(1+(('Dane wejściowe'!B8/200000)-1)*'Dane wejściowe'!B24)*'Dane wejściowe'!B14</f>
        <v/>
      </c>
      <c r="C11" s="81">
        <f>10000*('Dane wejściowe'!B22*(1-('Dane wejściowe'!B7/100))+'Dane wejściowe'!B23*('Dane wejściowe'!B7/100))*(1+(('Dane wejściowe'!B8/200000)-1)*'Dane wejściowe'!B24)</f>
        <v/>
      </c>
      <c r="D11" s="65">
        <f>(10000*('Dane wejściowe'!B22*(1-('Dane wejściowe'!B7/100))+'Dane wejściowe'!B23*('Dane wejściowe'!B7/100))*(1+(('Dane wejściowe'!B8/200000)-1)*'Dane wejściowe'!B24))-(10000*('Dane wejściowe'!B12*(1-('Dane wejściowe'!B7/100))+'Dane wejściowe'!B13*('Dane wejściowe'!B7/100))*(1+(('Dane wejściowe'!B8/200000)-1)*'Dane wejściowe'!B24)*'Dane wejściowe'!B14)</f>
        <v/>
      </c>
      <c r="E11" s="66">
        <f>IFERROR(((10000*('Dane wejściowe'!B22*(1-('Dane wejściowe'!B7/100))+'Dane wejściowe'!B23*('Dane wejściowe'!B7/100))*(1+(('Dane wejściowe'!B8/200000)-1)*'Dane wejściowe'!B24))-(10000*('Dane wejściowe'!B12*(1-('Dane wejściowe'!B7/100))+'Dane wejściowe'!B13*('Dane wejściowe'!B7/100))*(1+(('Dane wejściowe'!B8/200000)-1)*'Dane wejściowe'!B24)*'Dane wejściowe'!B14))/(10000*('Dane wejściowe'!B22*(1-('Dane wejściowe'!B7/100))+'Dane wejściowe'!B23*('Dane wejściowe'!B7/100))*(1+(('Dane wejściowe'!B8/200000)-1)*'Dane wejściowe'!B24))*100,0)</f>
        <v/>
      </c>
      <c r="F11" s="68" t="inlineStr"/>
      <c r="G11" s="80">
        <f>10000*('Dane wejściowe'!B12*(1-('Dane wejściowe'!B7/100))+'Dane wejściowe'!B13*('Dane wejściowe'!B7/100))*(1+(('Dane wejściowe'!B8/200000)-1)*'Dane wejściowe'!B24)*'Dane wejściowe'!B14</f>
        <v/>
      </c>
      <c r="H11" s="69">
        <f>((10000*('Dane wejściowe'!B22*(1-('Dane wejściowe'!B7/100))+'Dane wejściowe'!B23*('Dane wejściowe'!B7/100))*(1+(('Dane wejściowe'!B8/200000)-1)*'Dane wejściowe'!B24))*(1+'Dane wejściowe'!B19/100))-(10000*('Dane wejściowe'!B12*(1-('Dane wejściowe'!B7/100))+'Dane wejściowe'!B13*('Dane wejściowe'!B7/100))*(1+(('Dane wejściowe'!B8/200000)-1)*'Dane wejściowe'!B24)*'Dane wejściowe'!B14)-'Dane wejściowe'!B17/MAX('Dane wejściowe'!B9,12)-'Dane wejściowe'!B18/MAX('Dane wejściowe'!B9,12)</f>
        <v/>
      </c>
      <c r="I11" s="70">
        <f>IFERROR((((10000*('Dane wejściowe'!B22*(1-('Dane wejściowe'!B7/100))+'Dane wejściowe'!B23*('Dane wejściowe'!B7/100))*(1+(('Dane wejściowe'!B8/200000)-1)*'Dane wejściowe'!B24))*(1+'Dane wejściowe'!B19/100))-(10000*('Dane wejściowe'!B12*(1-('Dane wejściowe'!B7/100))+'Dane wejściowe'!B13*('Dane wejściowe'!B7/100))*(1+(('Dane wejściowe'!B8/200000)-1)*'Dane wejściowe'!B24)*'Dane wejściowe'!B14)-'Dane wejściowe'!B17/MAX('Dane wejściowe'!B9,12)-'Dane wejściowe'!B18/MAX('Dane wejściowe'!B9,12))/((10000*('Dane wejściowe'!B22*(1-('Dane wejściowe'!B7/100))+'Dane wejściowe'!B23*('Dane wejściowe'!B7/100))*(1+(('Dane wejściowe'!B8/200000)-1)*'Dane wejściowe'!B24))*(1+'Dane wejściowe'!B19/100))*100,0)</f>
        <v/>
      </c>
    </row>
    <row r="13" ht="36" customHeight="1">
      <c r="A13" s="82" t="inlineStr">
        <is>
          <t>⚠ MODEL v2 (per-km): przychód = km × stawka_rekl. × prestiż; payout = km × stawka_kier. × prestiż × oklejenie. Prestiż symetryczny (ten sam wsp. 0.3 po obu stronach → marża % stała). Abo: wrapAmort+unwrapAmort w marży; audyt prawny jednorazowy poza P&amp;L.</t>
        </is>
      </c>
    </row>
  </sheetData>
  <mergeCells count="4">
    <mergeCell ref="A1:I1"/>
    <mergeCell ref="G2:I2"/>
    <mergeCell ref="A2:E2"/>
    <mergeCell ref="A13:I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2026-05-29T10:57:35Z</dcterms:created>
  <dcterms:modified xsi:type="dcterms:W3CDTF">2026-05-29T10:57:35Z</dcterms:modified>
</cp:coreProperties>
</file>