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z\Downloads\"/>
    </mc:Choice>
  </mc:AlternateContent>
  <xr:revisionPtr revIDLastSave="0" documentId="13_ncr:1_{CAE8F048-470C-4F76-B20F-01AE029137CB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🗺️ MAPA PLIKU" sheetId="1" r:id="rId1"/>
    <sheet name="📊 DASHBOARD" sheetId="2" r:id="rId2"/>
    <sheet name="🧭 8 EKSPERTÓW" sheetId="3" r:id="rId3"/>
    <sheet name="🏗️ FAZA 0 — Fundamenty" sheetId="4" r:id="rId4"/>
    <sheet name="⚖️ FAZA 1 — Prawna" sheetId="5" r:id="rId5"/>
    <sheet name="🎯 FAZA 2 — Akwizycja" sheetId="6" r:id="rId6"/>
    <sheet name="🚗 FAZA 3 — Pilotaż 10 aut" sheetId="7" r:id="rId7"/>
    <sheet name="📱 FAZA 4 — Platforma MVP" sheetId="8" r:id="rId8"/>
    <sheet name="🚀 FAZA 5 — 50 Aut" sheetId="9" r:id="rId9"/>
    <sheet name="💰 FAZA 6 — Break-even 100 aut" sheetId="10" r:id="rId10"/>
    <sheet name="💼 PIPELINE B2B" sheetId="11" r:id="rId11"/>
    <sheet name="📱 CONTENT PLAN" sheetId="12" r:id="rId12"/>
    <sheet name="🧮 UNIT ECONOMIC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13" l="1"/>
</calcChain>
</file>

<file path=xl/sharedStrings.xml><?xml version="1.0" encoding="utf-8"?>
<sst xmlns="http://schemas.openxmlformats.org/spreadsheetml/2006/main" count="1803" uniqueCount="1102">
  <si>
    <t>🚗 AdRide.pl — MASTER PLAYBOOK v3.0</t>
  </si>
  <si>
    <t>Strategia 8 Ekspertów × Plan 7 Faz × Tracking Zadań | Maj–Grudzień 2026</t>
  </si>
  <si>
    <t xml:space="preserve">  ℹ️ JAK UŻYWAĆ TEGO PLIKU</t>
  </si>
  <si>
    <t>1️⃣  Ten tydzień: otwórz FAZA 0 lub FAZA 1 → przefiltruj DEADLINE → zmień STATUS na 🔄 IN PROGRESS</t>
  </si>
  <si>
    <t>2️⃣  Gdy zadanie skończone: STATUS = ✅ DONE + wpisz datę w kolumnie DATA WYK.</t>
  </si>
  <si>
    <t>3️⃣  Co piątek: sprawdź 🧭 8 EKSPERTÓW — Tydzień 1 → czy TOP 3 zrobione?</t>
  </si>
  <si>
    <t>4️⃣  Pipeline B2B: aktualizuj 💼 PIPELINE codziennie. Cardone: 10 DM dziennie bez wyjątków.</t>
  </si>
  <si>
    <t>5️⃣  Content: 📱 CONTENT PLAN — 3 posty/tydzień. Gary Vee: document don't create.</t>
  </si>
  <si>
    <t>6️⃣  Ceny: wypełnij żółte pola w 🧮 UNIT ECONOMICS po rozmowie z Włodkiem.</t>
  </si>
  <si>
    <t xml:space="preserve">  📂 STRUKTURA ZAKŁADEK</t>
  </si>
  <si>
    <t>#</t>
  </si>
  <si>
    <t>Zakładka</t>
  </si>
  <si>
    <t>Zawartość</t>
  </si>
  <si>
    <t>Kiedy używać</t>
  </si>
  <si>
    <t>Status</t>
  </si>
  <si>
    <t>1</t>
  </si>
  <si>
    <t>🗺️ MAPA PLIKU (TEN ARKUSZ)</t>
  </si>
  <si>
    <t>Nawigacja, instrukcja, legenda</t>
  </si>
  <si>
    <t>Zawsze</t>
  </si>
  <si>
    <t>✅</t>
  </si>
  <si>
    <t>2</t>
  </si>
  <si>
    <t>🏗️ FAZA 0 — Fundamenty</t>
  </si>
  <si>
    <t>Ownership, deck, unit econ, GPS spec, kontakty</t>
  </si>
  <si>
    <t>07–25.05.2026</t>
  </si>
  <si>
    <t>🔄 AKTYWNA</t>
  </si>
  <si>
    <t>3</t>
  </si>
  <si>
    <t>⚖️ FAZA 1 — Prawna</t>
  </si>
  <si>
    <t>Umowy, RODO, Włodek, CRM B2B</t>
  </si>
  <si>
    <t>14–28.05.2026</t>
  </si>
  <si>
    <t>4</t>
  </si>
  <si>
    <t>🎯 FAZA 2 — Akwizycja</t>
  </si>
  <si>
    <t>Kierowcy waitinglist, cold outreach B2B, case study</t>
  </si>
  <si>
    <t>28.05–25.06.2026</t>
  </si>
  <si>
    <t>⏳</t>
  </si>
  <si>
    <t>5</t>
  </si>
  <si>
    <t>🚗 FAZA 3 — Pilotaż 10 aut</t>
  </si>
  <si>
    <t>Oklejenie, GPS, raport, pierwsza faktura</t>
  </si>
  <si>
    <t>25.06–31.07.2026</t>
  </si>
  <si>
    <t>6</t>
  </si>
  <si>
    <t>📱 FAZA 4 — Platforma MVP</t>
  </si>
  <si>
    <t>GPS App React Native, panel Rek., Stripe</t>
  </si>
  <si>
    <t>01.07–15.08.2026</t>
  </si>
  <si>
    <t>7</t>
  </si>
  <si>
    <t>🚀 FAZA 5 — 50 Aut</t>
  </si>
  <si>
    <t>50 kierowców, 5 rek., MRR 100k, automatyzacje</t>
  </si>
  <si>
    <t>15.08–23.10.2026</t>
  </si>
  <si>
    <t>8</t>
  </si>
  <si>
    <t>💰 FAZA 6 — Break-even 100 aut</t>
  </si>
  <si>
    <t>100 aut, zysk 25k, start 2. miasto, fundraising</t>
  </si>
  <si>
    <t>23.10–31.12.2026</t>
  </si>
  <si>
    <t>9</t>
  </si>
  <si>
    <t>💼 PIPELINE B2B</t>
  </si>
  <si>
    <t>Tracking 30+ firm: zimny lead → umowa</t>
  </si>
  <si>
    <t>Codziennie</t>
  </si>
  <si>
    <t>10</t>
  </si>
  <si>
    <t>📱 CONTENT PLAN</t>
  </si>
  <si>
    <t>Kalendarz postów TikTok/LinkedIn/Reels</t>
  </si>
  <si>
    <t>Co tydzień</t>
  </si>
  <si>
    <t>11</t>
  </si>
  <si>
    <t>🧮 UNIT ECONOMICS</t>
  </si>
  <si>
    <t>Kalkulator marży, break-even, scenariusze</t>
  </si>
  <si>
    <t>Po ustaleniu cen z Włodkiem</t>
  </si>
  <si>
    <t>📊 DASHBOARD — AdRide Status Overview</t>
  </si>
  <si>
    <t>Aktualizuj co tydzień | Co piątek sprawdź KPI Gates</t>
  </si>
  <si>
    <t xml:space="preserve">  📈 STATUS FAZ</t>
  </si>
  <si>
    <t>FAZA</t>
  </si>
  <si>
    <t>NAZWA</t>
  </si>
  <si>
    <t>START</t>
  </si>
  <si>
    <t>KONIEC</t>
  </si>
  <si>
    <t>ZADAN</t>
  </si>
  <si>
    <t>DONE</t>
  </si>
  <si>
    <t>% UKONCZ</t>
  </si>
  <si>
    <t>STATUS / UWAGI</t>
  </si>
  <si>
    <t>FAZA 0</t>
  </si>
  <si>
    <t>Fundamenty &amp; Decyzje</t>
  </si>
  <si>
    <t>07.05</t>
  </si>
  <si>
    <t>25.05</t>
  </si>
  <si>
    <t>38%</t>
  </si>
  <si>
    <t>🔄 W TOKU — Ownership OK, Unit econ. w toku</t>
  </si>
  <si>
    <t>FAZA 1</t>
  </si>
  <si>
    <t>Prawna &amp; Partnerstwa</t>
  </si>
  <si>
    <t>14.05</t>
  </si>
  <si>
    <t>28.05</t>
  </si>
  <si>
    <t>29%</t>
  </si>
  <si>
    <t>🔄 W TOKU — Umowy gotowe, prawnik w toku</t>
  </si>
  <si>
    <t>FAZA 2</t>
  </si>
  <si>
    <t>Akwizycja Kierowców &amp; B2B</t>
  </si>
  <si>
    <t>25.06</t>
  </si>
  <si>
    <t>0%</t>
  </si>
  <si>
    <t>⏳ PLANOWANA</t>
  </si>
  <si>
    <t>FAZA 3</t>
  </si>
  <si>
    <t>Pilotaż 5–10 Aut</t>
  </si>
  <si>
    <t>31.07</t>
  </si>
  <si>
    <t>FAZA 4</t>
  </si>
  <si>
    <t>Platforma MVP + GPS App</t>
  </si>
  <si>
    <t>01.07</t>
  </si>
  <si>
    <t>15.08</t>
  </si>
  <si>
    <t>FAZA 5</t>
  </si>
  <si>
    <t>Skalowanie 50 Aut</t>
  </si>
  <si>
    <t>23.10</t>
  </si>
  <si>
    <t>FAZA 6</t>
  </si>
  <si>
    <t>Break-even 100 Aut</t>
  </si>
  <si>
    <t>31.12</t>
  </si>
  <si>
    <t xml:space="preserve">  🎯 KPI GATES</t>
  </si>
  <si>
    <t>PRZEJŚCIE</t>
  </si>
  <si>
    <t>CO MUSI BYĆ GOTOWE</t>
  </si>
  <si>
    <t>MIARA</t>
  </si>
  <si>
    <t>TERMIN</t>
  </si>
  <si>
    <t>STATUS</t>
  </si>
  <si>
    <t>FAZA 0→1</t>
  </si>
  <si>
    <t>Ownership+Deck v1.0+Unit econ.+Kontakt Seb/Piotr+Hero podmienione+Spec GPS</t>
  </si>
  <si>
    <t>6 items | 25.05 | 🔄</t>
  </si>
  <si>
    <t>FAZA 1→2</t>
  </si>
  <si>
    <t>Umowa Włodek+Wzory prawne+Regulamin+PP+CRM 30 firm+Cennik foliowania</t>
  </si>
  <si>
    <t>5 items | 28.05 | 🔄</t>
  </si>
  <si>
    <t>FAZA 2→3</t>
  </si>
  <si>
    <t>50 kier. waitinglist+1 umowa pilotażowa+Case study Piotr</t>
  </si>
  <si>
    <t>50+1+1 | 25.06 | ⏳</t>
  </si>
  <si>
    <t>FAZA 3→4</t>
  </si>
  <si>
    <t>5–10 aut oklejonych+Raport GPS+1. faktura opłacona+Case study online</t>
  </si>
  <si>
    <t>min 5 aut | 31.07 | ⏳</t>
  </si>
  <si>
    <t>FAZA 4→5</t>
  </si>
  <si>
    <t>GPS App iOS+Android live+Panel kier.+Panel Rek.+Stripe Connect</t>
  </si>
  <si>
    <t>3 moduły | 15.08 | ⏳</t>
  </si>
  <si>
    <t>FAZA 5→6</t>
  </si>
  <si>
    <t>50 aktywnych aut+5 rek.+MRR ≥ 100 000 zł</t>
  </si>
  <si>
    <t>50+100k MRR | 23.10 | ⏳</t>
  </si>
  <si>
    <t>FAZA 6 ✅</t>
  </si>
  <si>
    <t>100 aut+Zysk op. ≥ 25 000 zł+Start 2. miasto</t>
  </si>
  <si>
    <t>100+25k | 31.12 | ⏳</t>
  </si>
  <si>
    <t>🧭 STRATEGIA 8 EKSPERTÓW — AdRide Playbook</t>
  </si>
  <si>
    <t>Godin→Hormozi→Brunson→Gary Vee→Belfort→Kennedy→Cardone→Robbins | ŚCIEŻKA A: Launch Mode</t>
  </si>
  <si>
    <t xml:space="preserve">  🟣 SETH GODIN — Brand &amp; Pozycjonowanie</t>
  </si>
  <si>
    <t xml:space="preserve">  "Nie musisz być lepszy. Musisz być inny dla właściwych ludzi."</t>
  </si>
  <si>
    <t xml:space="preserve">  📋 DIAGNOZA: AdRide jest opisane jak PRODUKT, nie jak RUCH. Brakuje: dlaczego ktoś miałby TO wybrać i o tym mówić.</t>
  </si>
  <si>
    <t>ID</t>
  </si>
  <si>
    <t>ZADANIE / AKCJA</t>
  </si>
  <si>
    <t>KIEDY</t>
  </si>
  <si>
    <t>SZCZEGÓŁY / JAK</t>
  </si>
  <si>
    <t>NARZĘDZIE / OUTPUT</t>
  </si>
  <si>
    <t>STATUS ▾</t>
  </si>
  <si>
    <t>G.01</t>
  </si>
  <si>
    <t>Persona Kierowcy</t>
  </si>
  <si>
    <t>🔴 DZIŚ</t>
  </si>
  <si>
    <t>Mateusz, 31 lat, Uber/Bolt, 3–5k km/mies., rata leasingu, liczy każdą złotówkę — KONKRETNA osoba, nie 'każdy kto ma auto'</t>
  </si>
  <si>
    <t>Dokument Google 1 strona</t>
  </si>
  <si>
    <t>✅ Gotowe</t>
  </si>
  <si>
    <t>G.02</t>
  </si>
  <si>
    <t>Persona Reklamodawcy</t>
  </si>
  <si>
    <t>Lokalny biznes Wwa (klinika/restauracja/salon). 2–10k zł/mies. na FB Ads. Czuje że efekty słabną. Chce lokalnego, fizycznego.</t>
  </si>
  <si>
    <t>⏳ TODO</t>
  </si>
  <si>
    <t>G.03</t>
  </si>
  <si>
    <t>Tagline i Brand Story</t>
  </si>
  <si>
    <t>🟠 TEN TYDZIEŃ</t>
  </si>
  <si>
    <t>"Twoja reklama jedzie tam gdzie są Twoi klienci." + Brand Story: problem/inni/my wierzymy/dlatego — wklej na stronę i LinkedIn</t>
  </si>
  <si>
    <t>Strona + LinkedIn + emaile</t>
  </si>
  <si>
    <t>✅ Gotowe w sesji</t>
  </si>
  <si>
    <t>G.04</t>
  </si>
  <si>
    <t>Purple Cow: GPS per km</t>
  </si>
  <si>
    <t>'Pierwsza platforma w PL gdzie płacisz za faktycznie przejechane km — nie za obietnicę zasięgu' — zakomunikuj WSZĘDZIE</t>
  </si>
  <si>
    <t>Każdy punkt kontaktu z klientem</t>
  </si>
  <si>
    <t xml:space="preserve">  💰 ALEX HORMOZI — Oferta &amp; Wartość</t>
  </si>
  <si>
    <t xml:space="preserve">  "Nie sprzedajesz reklamy na aucie. Sprzedajesz mierzalną lokalną ekspozycję bez ryzyka."</t>
  </si>
  <si>
    <t xml:space="preserve">  📋 DIAGNOZA: 3 problemy: (1) Puste ceny w umowie B2B — blokuje sprzedaż, (2) Brak nazwanego mechanizmu, (3) Ryzyko po stronie kupującego.</t>
  </si>
  <si>
    <t>H.01</t>
  </si>
  <si>
    <t>Nazwij mechanizm</t>
  </si>
  <si>
    <t>"System Lokalnej Ekspozycji GPS" / "Kampania GPS AdRide" — nie tylko 'reklama na aucie'</t>
  </si>
  <si>
    <t>Na stronie + emailach + prezentacji</t>
  </si>
  <si>
    <t>H.02</t>
  </si>
  <si>
    <t>Cena pakietu START</t>
  </si>
  <si>
    <t>🔴 DZIŚ — BLOKUJE SPRZEDAŻ</t>
  </si>
  <si>
    <t>Oklejenie: [cena Włodka+marża] + 997 zł/mies. + demontaż: [cena Włodka+marża]. Wpisz do Umowy Rek. §5.1</t>
  </si>
  <si>
    <t>Umowa Reklamodawcy §5.1</t>
  </si>
  <si>
    <t>❌ BRAK</t>
  </si>
  <si>
    <t>H.03</t>
  </si>
  <si>
    <t>Cena pakietu SCALE</t>
  </si>
  <si>
    <t>3–5 pojazdów: oklejenie+997/3-5× + 2497 zł/mies. + demontaż. Min. 6 mies. Rabat volumetryczny?</t>
  </si>
  <si>
    <t>H.04</t>
  </si>
  <si>
    <t>Gwarancja 'Kilometr albo Zwrot'</t>
  </si>
  <si>
    <t>"Gwarantujemy min. 1500 km ekspozycji/pojazd/mies. Jeśli nie — przedłużamy bezpłatnie." GPS to weryfikuje.</t>
  </si>
  <si>
    <t>Na stronie + umowie + rozmowie sprzedażowej</t>
  </si>
  <si>
    <t>H.05</t>
  </si>
  <si>
    <t>Stack wartości</t>
  </si>
  <si>
    <t>🟡 W TEJ FAZIE</t>
  </si>
  <si>
    <t>START: suma wartości ~2000 zł, cena: 997 zł. SCALE: suma ~7300 zł, cena: 2497 zł. Klient kupuje 2x wartości.</t>
  </si>
  <si>
    <t>Prezentacja + PDF pakiety</t>
  </si>
  <si>
    <t xml:space="preserve">  🔺 RUSSELL BRUNSON — Funnele &amp; Ścieżka</t>
  </si>
  <si>
    <t xml:space="preserve">  "Każdy biznes to funnel. Pytanie: czy Twój jest przypadkowy czy zaprojektowany?"</t>
  </si>
  <si>
    <t xml:space="preserve">  📋 DIAGNOZA: Brakuje ścieżki. Ktoś słyszy o AdRide → ??? → podpisuje umowę. To ??? kosztuje każdego klienta.</t>
  </si>
  <si>
    <t>B.01</t>
  </si>
  <si>
    <t>Landing Page Kierowcy LIVE</t>
  </si>
  <si>
    <t>🔴 DO PIĄTKU 23.05</t>
  </si>
  <si>
    <t>Carrd.co lub Webflow. Nagłówek: 'Zarabiaj 350–700 zł/mies. na reklamie na Twoim aucie.' 3 punkty + formularz + CTA</t>
  </si>
  <si>
    <t>adride.pl/kierowca — 2–3h pracy</t>
  </si>
  <si>
    <t>🔴 BLOKUJE supply</t>
  </si>
  <si>
    <t>B.02</t>
  </si>
  <si>
    <t>Kalkulator Zasięgu GPS</t>
  </si>
  <si>
    <t>Google Sheets osadzony na stronie. Dzielnica+auta+czas → km+impressions+CPM. Lead magnet zbiera emaile.</t>
  </si>
  <si>
    <t>adride.pl/kalkulator</t>
  </si>
  <si>
    <t>B.03</t>
  </si>
  <si>
    <t>5 emaili sekwencji</t>
  </si>
  <si>
    <t>E1:historia|E2:adblockery|E3:case study|E4:oferta|E5:urgency. Szkice gotowe w sesji Claude.</t>
  </si>
  <si>
    <t>Mailchimp/ConvertKit free</t>
  </si>
  <si>
    <t>B.04</t>
  </si>
  <si>
    <t>Email marketing skonfigurowany</t>
  </si>
  <si>
    <t>Mailchimp free: 500 kontaktów, 1000 emaili/mies. Autoresponder dla leadów z kalkulatora.</t>
  </si>
  <si>
    <t>mailchimp.com</t>
  </si>
  <si>
    <t>B.05</t>
  </si>
  <si>
    <t>Strona aplikacyjna SCALE</t>
  </si>
  <si>
    <t>5 pytań → tylko poważni wypełniają → Founder oddzwania. Filtruje okna od kupujących.</t>
  </si>
  <si>
    <t>adride.pl/kampania-flotowa</t>
  </si>
  <si>
    <t xml:space="preserve">  📱 GARY VEE — Content &amp; Uwaga</t>
  </si>
  <si>
    <t xml:space="preserve">  "Masz za dużo czasu żeby nie produkować contentu i za mało budżetu żeby go ignorować."</t>
  </si>
  <si>
    <t xml:space="preserve">  📋 DIAGNOZA: Oklejone auto w Warszawie to content sam w sobie. Musisz tylko włączyć kamerę.</t>
  </si>
  <si>
    <t>GV.01</t>
  </si>
  <si>
    <t>PIERWSZY FILM TikTok/Reel</t>
  </si>
  <si>
    <t>60 sek. Hook: 'Naklejam reklamy na auta i płacę za każdy km. Oto jak.' Telefon. Niedoskonały. OPUBLIKOWANY.</t>
  </si>
  <si>
    <t>TikTok + Instagram Reels</t>
  </si>
  <si>
    <t>🔴 ZRÓB DZIŚ</t>
  </si>
  <si>
    <t>GV.02</t>
  </si>
  <si>
    <t>Post LinkedIn — ad-blockery</t>
  </si>
  <si>
    <t>"Dlaczego 42% Polaków nie zobaczy Twojej reklamy na FB." Treść + #reklamawarszawa. Jedno pytanie na końcu.</t>
  </si>
  <si>
    <t>LinkedIn firmowy AdRide</t>
  </si>
  <si>
    <t>GV.03</t>
  </si>
  <si>
    <t>$1.80 Strategy — codziennie</t>
  </si>
  <si>
    <t>🔴 CODZIENNIE</t>
  </si>
  <si>
    <t>9 komentarzy/dzień na #marketingwarszawa #restauracjawarszawa. Wartościowe komentarze — nie 'świetny post!'</t>
  </si>
  <si>
    <t>LinkedIn — 30 min/dzień</t>
  </si>
  <si>
    <t>GV.04</t>
  </si>
  <si>
    <t>5 grup FB Uber/Bolt/Kierowcy</t>
  </si>
  <si>
    <t>Dołącz. Odpowiadaj na pytania 2 tyg. nie sprzedawaj. Potem naturalnie → 'ja robię coś podobnego w AdRide'</t>
  </si>
  <si>
    <t>FB Grupy</t>
  </si>
  <si>
    <t xml:space="preserve">  🎯 JORDAN BELFORT — Sprzedaż &amp; Skrypty</t>
  </si>
  <si>
    <t xml:space="preserve">  "Każda rozmowa: Produkt → Ty → Firma. Wszystkie trzy muszą być 10/10."</t>
  </si>
  <si>
    <t xml:space="preserve">  📋 DIAGNOZA: Masz ofertę i funnel. Teraz potrzebujesz skryptu który zamienia rozmowę w umowę.</t>
  </si>
  <si>
    <t>JB.01</t>
  </si>
  <si>
    <t>Skrypt cold DM LinkedIn</t>
  </si>
  <si>
    <t>🔴 TEN TYDZIEŃ</t>
  </si>
  <si>
    <t>'Prowadzę AdRide — kampanie GPS na autach Warszawa. Mam 3 wolne pojazdy na Mokotowie — czy to obszar który Cię interesuje?' 3 zdania. Mechanizm. Scarcity. Pytanie.</t>
  </si>
  <si>
    <t>LinkedIn DM + cold call</t>
  </si>
  <si>
    <t>JB.02</t>
  </si>
  <si>
    <t>5 odpowiedzi na objekcje</t>
  </si>
  <si>
    <t>1)Za drogo→CPM | 2)Czy działa→gwarancja km | 3)Nie teraz→scarcity | 4)Mam agencję→uzupełnienie | 5)Czy auta jeżdżą→GPS live</t>
  </si>
  <si>
    <t>Dokument Google + skrypt</t>
  </si>
  <si>
    <t>JB.03</t>
  </si>
  <si>
    <t>10 DM LinkedIn dziennie</t>
  </si>
  <si>
    <t>Personalizowane. Właściciele lokalnych firm Warszawa. Cel: umówić 15-min rozmowę. NIE sprzedawać przez DM.</t>
  </si>
  <si>
    <t>LinkedIn — cel: 10/dzień</t>
  </si>
  <si>
    <t>JB.04</t>
  </si>
  <si>
    <t>5 rozmów demo w tygodniu</t>
  </si>
  <si>
    <t>15 min. Problem→GPS→Oferta→CTA. Google Meet + Calendly. Nagrywaj za zgodą. Ucz się z każdej.</t>
  </si>
  <si>
    <t>Google Meet + Calendly</t>
  </si>
  <si>
    <t xml:space="preserve">  📧 DAN KENNEDY — Direct Response</t>
  </si>
  <si>
    <t xml:space="preserve">  "Reklama bez odpowiedzi to strata pieniędzy. Każda komunikacja musi mieć jeden CTA."</t>
  </si>
  <si>
    <t xml:space="preserve">  📋 DIAGNOZA: Outreach musi być direct response — konkretna oferta, konkretna korzyść, konkretna instrukcja CO TERAZ.</t>
  </si>
  <si>
    <t>DK.01</t>
  </si>
  <si>
    <t>Cold email A/B test</t>
  </si>
  <si>
    <t>Temat A: 'Twoje logo na 10 autach w Warszawie'. Temat B: 'Twoja reklama: GPS = każdy km udowodniony'. Max 150 słów. Jeden CTA.</t>
  </si>
  <si>
    <t>Gmail + Calendly link</t>
  </si>
  <si>
    <t>DK.02</t>
  </si>
  <si>
    <t>Wyślij cold email do 10 firm</t>
  </si>
  <si>
    <t>Personalizacja: branża/lokalizacja. Indywidualne emaile. Follow-up +48h.</t>
  </si>
  <si>
    <t>CRM Google Sheets + Gmail</t>
  </si>
  <si>
    <t>DK.03</t>
  </si>
  <si>
    <t>Follow-up sekwencja 3 kontakty</t>
  </si>
  <si>
    <t>Kontakt 1: cold email | +48h: follow-up | +7 dni: wartość (kalkulator) + ostatni CTA</t>
  </si>
  <si>
    <t>Manual tracking w CRM</t>
  </si>
  <si>
    <t>DK.04</t>
  </si>
  <si>
    <t>30 kontaktów B2B tygodniowo</t>
  </si>
  <si>
    <t>15 emaile + 10 DM LinkedIn + 5 cold calls = 30/tydzień. Cardone: 100 kontaktów = 3 klientów. Rób liczby.</t>
  </si>
  <si>
    <t>Apollo.io + LinkedIn + telefon</t>
  </si>
  <si>
    <t xml:space="preserve">  📈 GRANT CARDONE — 10X &amp; Skala</t>
  </si>
  <si>
    <t xml:space="preserve">  "Jedyną różnicą między małą a dużą firmą jest to, że duża nie odpuszcza po 10 odmowach."</t>
  </si>
  <si>
    <t xml:space="preserve">  📋 DIAGNOZA: 100 kontaktów = 3 klientów. 97 odmów to matematyka. Rób 10x więcej niż myślisz że musisz.</t>
  </si>
  <si>
    <t>GC.01</t>
  </si>
  <si>
    <t>Dzienny target: 10–17 kontaktów</t>
  </si>
  <si>
    <t>10 DM LN + 5 cold emaile + 2 cold calls = 17/dzień. Tracking w Pipeline B2B. Cel: 50 kontaktów tydzień 1.</t>
  </si>
  <si>
    <t>Zakładka 💼 PIPELINE B2B</t>
  </si>
  <si>
    <t>GC.02</t>
  </si>
  <si>
    <t>Śniadanie Biznesowe #1 (mies. 2)</t>
  </si>
  <si>
    <t>🟡 FAZA 2</t>
  </si>
  <si>
    <t>15–20 właścicieli lokalnych firm. Coworking Wwa. 90 min. Koszt ~500 zł. ROI: 2–3 klientów = 2–6k/mies. recurring.</t>
  </si>
  <si>
    <t>Brain Embassy / The Heart Wwa</t>
  </si>
  <si>
    <t>GC.03</t>
  </si>
  <si>
    <t>Target rok 1: 100 aktywnych aut</t>
  </si>
  <si>
    <t>🟢 WIZJA</t>
  </si>
  <si>
    <t>Duży cel czyni małe kroki oczywistymi. Tracking tygodniowy w Dashboard.</t>
  </si>
  <si>
    <t>Dashboard → co tydzień</t>
  </si>
  <si>
    <t>GC.04</t>
  </si>
  <si>
    <t>Waitinglist Miasto 2 (Kraków/Wrocław)</t>
  </si>
  <si>
    <t>🟢 FAZA 6</t>
  </si>
  <si>
    <t>Zbieraj od teraz. Każdy kier. spoza Wwy → waitinglist Miasto 2. Otwarcie Q1 2027.</t>
  </si>
  <si>
    <t>Formularz na stronie</t>
  </si>
  <si>
    <t xml:space="preserve">  🦁 TONY ROBBINS — Egzekucja &amp; Nawyki</t>
  </si>
  <si>
    <t xml:space="preserve">  "Nie masz strategii. Masz nawyki — albo ich nie masz."</t>
  </si>
  <si>
    <t xml:space="preserve">  📋 DIAGNOZA: Będą dni gdy 20 wiadomości i 0 odpowiedzi. Właśnie wtedy większość odpuszcza. Rutyna decyduje o wszystkim.</t>
  </si>
  <si>
    <t>TR.01</t>
  </si>
  <si>
    <t>Rutyna dzienna od JUTRA</t>
  </si>
  <si>
    <t>🔴 JUTRO</t>
  </si>
  <si>
    <t>06:30 Priming 10 min | 07:00 Deep Work 2h | 09:00 Operacje 1h | 10:00 Demo/Rozmowy | 13:00 $1.80 30 min | 17:00 Piątkowy przegląd</t>
  </si>
  <si>
    <t>Zakres codzienny — bez wyjątków</t>
  </si>
  <si>
    <t>TR.02</t>
  </si>
  <si>
    <t>Cotygodniowy przegląd — co piątek</t>
  </si>
  <si>
    <t>🔴 CO PIĄTEK</t>
  </si>
  <si>
    <t>3 pytania: Co zadziałało? Co nie? TOP 3 priorytety na przyszły tydzień. MAX 30 min. Bez tego dryfujesz.</t>
  </si>
  <si>
    <t>Dashboard + notatka Docs</t>
  </si>
  <si>
    <t>TR.03</t>
  </si>
  <si>
    <t>5-sekundowa reguła (Robbins)</t>
  </si>
  <si>
    <t>🟠 CODZIENNIE</t>
  </si>
  <si>
    <t>Gdy wahasz się wysłać DM lub zadzwonić: 5-4-3-2-1 → wysyłasz. Nie analizujesz. Impulsja kupuje.</t>
  </si>
  <si>
    <t>Mentalny nawyk</t>
  </si>
  <si>
    <t>TR.04</t>
  </si>
  <si>
    <t>Cotygodniowy check 4 KPI</t>
  </si>
  <si>
    <t>🟠 CO PIĄTEK</t>
  </si>
  <si>
    <t>1)MRR rośnie? 2)Pipeline 10+ leadów? 3)Więcej kier. niż kampanii? 4)50+ kontaktów B2B w tym tyg.? Wszystkie 4✅ = OK.</t>
  </si>
  <si>
    <t>Dashboard</t>
  </si>
  <si>
    <t>🚗 AdRide — FAZA 0: Fundamenty &amp; Decyzje (07.05–25.05.2026)</t>
  </si>
  <si>
    <t>🎯 KPI GATE: Ownership + Deck v1.0 + Unit economics + Kontakt Sebastian/Piotr + Spec GPS</t>
  </si>
  <si>
    <t>ZADANIE</t>
  </si>
  <si>
    <t>SZCZEGÓŁOWY OPIS</t>
  </si>
  <si>
    <t>KATEGORIA</t>
  </si>
  <si>
    <t>ODPOWIEDZIALNY</t>
  </si>
  <si>
    <t>DEADLINE</t>
  </si>
  <si>
    <t>DATA WYK.</t>
  </si>
  <si>
    <t>PRIORYTET</t>
  </si>
  <si>
    <t>NOTATKI</t>
  </si>
  <si>
    <t xml:space="preserve">  🏗️ OWNERSHIP &amp; ZESPÓŁ</t>
  </si>
  <si>
    <t>0.01</t>
  </si>
  <si>
    <t>Rozmowa z Justyną — rola PM</t>
  </si>
  <si>
    <t>Zakres obowiązków PM, czas FT/PT, forma prawna UZ vs B2B, wynagrodzenie, start</t>
  </si>
  <si>
    <t>Ownership</t>
  </si>
  <si>
    <t>Founder</t>
  </si>
  <si>
    <t>✅ DONE</t>
  </si>
  <si>
    <t>09.05</t>
  </si>
  <si>
    <t>🔴 KRYTYCZNY</t>
  </si>
  <si>
    <t>Zrobione 07.05</t>
  </si>
  <si>
    <t>0.02</t>
  </si>
  <si>
    <t>Forma prawna z Justyną</t>
  </si>
  <si>
    <t>UZ / B2B-JDG / wspólnik. Konsultacja z księgową — wpływ na ZUS, PIT</t>
  </si>
  <si>
    <t>Founder+Justyna</t>
  </si>
  <si>
    <t>11.05</t>
  </si>
  <si>
    <t>Zrobione 08.05</t>
  </si>
  <si>
    <t>0.03</t>
  </si>
  <si>
    <t>Plan wynagrodzeń 6 mies.</t>
  </si>
  <si>
    <t>Wynagrodzenie Justyny + Founder + trigger startu wypłat</t>
  </si>
  <si>
    <t>🟠 WYSOKI</t>
  </si>
  <si>
    <t>0.04</t>
  </si>
  <si>
    <t>RACI Founder vs PM</t>
  </si>
  <si>
    <t>Founder=strategia/B2B; Justyna=operacje/kierowcy/social. Google Drive</t>
  </si>
  <si>
    <t>12.05</t>
  </si>
  <si>
    <t>0.05</t>
  </si>
  <si>
    <t>Workspace Google Drive / Notion</t>
  </si>
  <si>
    <t>Baza zadań, pipeline B2B, lista kierowców, tracker kampanii, kalendarz</t>
  </si>
  <si>
    <t>Justyna</t>
  </si>
  <si>
    <t>🟡 ŚREDNI</t>
  </si>
  <si>
    <t xml:space="preserve">  📊 MODEL FINANSOWY &amp; DECK</t>
  </si>
  <si>
    <t>0.06</t>
  </si>
  <si>
    <t>Unit economics Google Sheets</t>
  </si>
  <si>
    <t>Przychód/pojazd, wypłata kierowcy, marża. Scenariusze 10/50/100 aut</t>
  </si>
  <si>
    <t>Model</t>
  </si>
  <si>
    <t>🔄 IN PROGRESS</t>
  </si>
  <si>
    <t>20.05</t>
  </si>
  <si>
    <t>Zakładka 🧮 UE w tym pliku</t>
  </si>
  <si>
    <t>0.07</t>
  </si>
  <si>
    <t>Model prowizyjny — Rek. płaci oklejenie</t>
  </si>
  <si>
    <t>Nowy model: AdRide pobiera prowizję. Policz nową marżę vs stary model</t>
  </si>
  <si>
    <t>Hormozi: ceny START/SCALE</t>
  </si>
  <si>
    <t>0.08</t>
  </si>
  <si>
    <t>Break-even nowy model</t>
  </si>
  <si>
    <t>Stałe koszty/mies. → ile aut do break-even? Stary vs nowy model</t>
  </si>
  <si>
    <t>0.09</t>
  </si>
  <si>
    <t>Deck v1.0 (12–15 slajdów)</t>
  </si>
  <si>
    <t>Problem/Rozwiązanie/UE/Rynek 870mln/Harmonogram/Zespół/CTA</t>
  </si>
  <si>
    <t>Deck</t>
  </si>
  <si>
    <t>Dla: Sebastiana, Włodka, Piotra G.</t>
  </si>
  <si>
    <t>0.10</t>
  </si>
  <si>
    <t>One-pager PDF A4</t>
  </si>
  <si>
    <t>Logo+tagline, 3 kroki, ceny, co dostaje kierowca, kontakt. Druk + email</t>
  </si>
  <si>
    <t xml:space="preserve">  🌐 STRONA + GPS SPEC</t>
  </si>
  <si>
    <t>0.11</t>
  </si>
  <si>
    <t>Hero foto podmienione na adride.pl</t>
  </si>
  <si>
    <t>Pobierz Unsplash (car wrap advertising). Deploy.</t>
  </si>
  <si>
    <t>Strona</t>
  </si>
  <si>
    <t>0.12</t>
  </si>
  <si>
    <t>Treść strony — nowy model</t>
  </si>
  <si>
    <t>Sekcja: Jak to działa, Ceny/pakiety, FAQ — kto płaci za oklejenie?</t>
  </si>
  <si>
    <t>22.05</t>
  </si>
  <si>
    <t>Hormozi stack wartości na stronie</t>
  </si>
  <si>
    <t>0.13</t>
  </si>
  <si>
    <t>GA4 + GTM + Hotjar + Pixel FB</t>
  </si>
  <si>
    <t>GA4 darmowe 10 min. Hotjar free. Cel: skąd ruch, gdzie klikają</t>
  </si>
  <si>
    <t>Analytics</t>
  </si>
  <si>
    <t>Tag GA4 w &lt;head&gt;</t>
  </si>
  <si>
    <t>0.14</t>
  </si>
  <si>
    <t>LinkedIn firmowy AdRide.pl</t>
  </si>
  <si>
    <t>Marketing&amp;Advertising. Logo, baner, opis PL+EN. Zaproś do obserwowania</t>
  </si>
  <si>
    <t>Social</t>
  </si>
  <si>
    <t>13.05</t>
  </si>
  <si>
    <t>Zrobione 11.05</t>
  </si>
  <si>
    <t>0.19</t>
  </si>
  <si>
    <t>GPS spec + wybór MVP</t>
  </si>
  <si>
    <t>Spec techniczna: śledzenie, km, zdjęcia, pauza prywatna. MVP: Google Maps Share Location (0 zł). Docelowo: Flutter</t>
  </si>
  <si>
    <t>GPS</t>
  </si>
  <si>
    <t>Blokuje Fazę 4</t>
  </si>
  <si>
    <t xml:space="preserve">  📬 PIERWSZE KONTAKTY</t>
  </si>
  <si>
    <t>0.15</t>
  </si>
  <si>
    <t>Email do Daniela (KIA)</t>
  </si>
  <si>
    <t>Przypomnij skąd znasz, AdRide=GPS reklama, zapytaj 15-min rozmowę. One-pager w załączniku</t>
  </si>
  <si>
    <t>Kontakty</t>
  </si>
  <si>
    <t>Skrypt Belfort</t>
  </si>
  <si>
    <t>0.16</t>
  </si>
  <si>
    <t>Kontakt z Piotrem Gilarskim</t>
  </si>
  <si>
    <t>Termin oklejenia, kto płaci folię, harmonogram filmików, prawa materiałów</t>
  </si>
  <si>
    <t>Pierwszy case study — priorytet!</t>
  </si>
  <si>
    <t>0.17</t>
  </si>
  <si>
    <t>Lista 30 marek do outreach</t>
  </si>
  <si>
    <t>Gastro(5)+fitness(5)+ecomm(5)+deweloperzy(5)+kliniki(5)+inne(5)</t>
  </si>
  <si>
    <t>Lista gotowa</t>
  </si>
  <si>
    <t>0.18</t>
  </si>
  <si>
    <t>Mapa procesów onboarding B2C+B2B</t>
  </si>
  <si>
    <t>Flow krok po kroku: co się dzieje, kiedy umowa, kto co robi</t>
  </si>
  <si>
    <t>0.20</t>
  </si>
  <si>
    <t>Analiza CPM i impressions GPS</t>
  </si>
  <si>
    <t>AADT + GPS → estymowane impressions. CPM vs FB/Billboard</t>
  </si>
  <si>
    <t>Dane AADT: gddkia.gov.pl</t>
  </si>
  <si>
    <t>🚗 AdRide — FAZA 1: Prawna &amp; Partnerstwa (14–28.05.2026)</t>
  </si>
  <si>
    <t>🎯 KPI GATE: Umowa z Włodkiem + Wzory umów prawne + Regulamin+PP opublikowane + CRM 30 firm + Cennik foliowania</t>
  </si>
  <si>
    <t xml:space="preserve">  ⚖️ ASPEKTY PRAWNE</t>
  </si>
  <si>
    <t>1.01</t>
  </si>
  <si>
    <t>Weryfikacja prawna modelu AdRide</t>
  </si>
  <si>
    <t>Zakres: ograniczenia reklamy na aucie, forma umowy z kier., GPS/RODO, podatki. Budżet 1–2k zł</t>
  </si>
  <si>
    <t>Prawna</t>
  </si>
  <si>
    <t>16.05</t>
  </si>
  <si>
    <t>Kancelarie: BWHS, Osborne Clarke</t>
  </si>
  <si>
    <t>1.02</t>
  </si>
  <si>
    <t>Wzór umowy z kierowcą</t>
  </si>
  <si>
    <t>Strony, opis usługi, wynagrodzenie, min przebieg 800 km, kara za zdejmowanie folii, zgoda GPS/RODO</t>
  </si>
  <si>
    <t>Prawnik+Founder</t>
  </si>
  <si>
    <t>Plik: umowa-kierowca-adride-15.md</t>
  </si>
  <si>
    <t>1.03</t>
  </si>
  <si>
    <t>Wzór umowy z reklamodawcą</t>
  </si>
  <si>
    <t>Zakres kampanii, cena (oklejenie+prowizja), raportowanie GPS, prawo do treści, rozwiązanie</t>
  </si>
  <si>
    <t>Plik: umowa-reklamodawca-adride-10.md — UZUPEŁNIĆ CENY §5.1</t>
  </si>
  <si>
    <t>1.04</t>
  </si>
  <si>
    <t>Weryfikacja ubezpieczeniowa OC/AC</t>
  </si>
  <si>
    <t>Czy oklejenie komercyjne wpływa na OC/AC? Klauzula dodatkowa? Zmiana taryfy?</t>
  </si>
  <si>
    <t>18.05</t>
  </si>
  <si>
    <t>Bariera adopcji kierowców — odpowiedź pisemna</t>
  </si>
  <si>
    <t>1.05</t>
  </si>
  <si>
    <t>Weryfikacja podatkowa: PIT kierowcy</t>
  </si>
  <si>
    <t>ZUS? Jaki PIT? FV nierejestrowanej DG. PIT-11 obowiązki AdRide</t>
  </si>
  <si>
    <t>Founder+Księgowa</t>
  </si>
  <si>
    <t>Nowe przepisy 2026 — aut prywatnych</t>
  </si>
  <si>
    <t>1.06</t>
  </si>
  <si>
    <t>Regulamin Platformy adride.pl v1.2</t>
  </si>
  <si>
    <t>Definicje, prawa stron, model finansowy, kary umowne, prawo PL, sąd Warszawa</t>
  </si>
  <si>
    <t>Justyna+AI</t>
  </si>
  <si>
    <t>Plik: regulamin-adride-pl.md</t>
  </si>
  <si>
    <t>1.07</t>
  </si>
  <si>
    <t>Polityka Prywatności + RODO</t>
  </si>
  <si>
    <t>Admin, dane kierowców (GPS), reklamodawców, podstawy prawne art.6, GPS tracking, prawa użytkowników</t>
  </si>
  <si>
    <t>Plik: polityka-prywatnosci-adride-13.md</t>
  </si>
  <si>
    <t>1.08</t>
  </si>
  <si>
    <t>Weryfikacja przez prawnika</t>
  </si>
  <si>
    <t>Prześlij regulamin + PP. Koszt: 500–1000 zł. NIE PUBLIKUJ BEZ WERYFIKACJI</t>
  </si>
  <si>
    <t>Founder+Prawnik</t>
  </si>
  <si>
    <t>26.05</t>
  </si>
  <si>
    <t xml:space="preserve">  🤝 PARTNERSTWO FOLIOWANIE (Włodek)</t>
  </si>
  <si>
    <t>1.09</t>
  </si>
  <si>
    <t>Spotkanie z Włodkiem</t>
  </si>
  <si>
    <t>Agenda: model AdRide, stawki, harmonogram, możliwość kredytu kupieckiego. Deck + kalkulacja</t>
  </si>
  <si>
    <t>Foliowanie</t>
  </si>
  <si>
    <t>Deck: ile zleceń rocznie przy 100 autach</t>
  </si>
  <si>
    <t>1.10</t>
  </si>
  <si>
    <t>Cennik usług foliowania</t>
  </si>
  <si>
    <t>Oklejenie pełne/częściowe/tył+szyby, demontaż, naprawy. Min. folia 3M</t>
  </si>
  <si>
    <t>Founder+Włodek</t>
  </si>
  <si>
    <t>Wejdzie do umowy z Rek. §5.1 — BLOKUJE SPRZEDAŻ</t>
  </si>
  <si>
    <t>1.11</t>
  </si>
  <si>
    <t>Umowa ramowa z Włodkiem</t>
  </si>
  <si>
    <t>Włodek=preferencyjny wykonawca, cennik, czas realizacji, jakość, reklamacje, poufność</t>
  </si>
  <si>
    <t>23.05</t>
  </si>
  <si>
    <t>Opcja: zacznij od MOU/LOI</t>
  </si>
  <si>
    <t>1.12</t>
  </si>
  <si>
    <t>2 rezerwowych wykonawców foliowania</t>
  </si>
  <si>
    <t>Google: oklejanie Warszawa profesjonalne. Lista: Firma|Kontakt|Cena|Dostępność</t>
  </si>
  <si>
    <t>1.13</t>
  </si>
  <si>
    <t>Procedura zlecania oklejenia</t>
  </si>
  <si>
    <t>Workflow: matching → kontakt Włodek → termin → oklejenie → zdjęcia → faktura → start kampanii</t>
  </si>
  <si>
    <t>Wejdzie do Regulaminu</t>
  </si>
  <si>
    <t xml:space="preserve">  📋 SPRZEDAŻ B2B — PRZYGOTOWANIE</t>
  </si>
  <si>
    <t>1.14</t>
  </si>
  <si>
    <t>Pipeline CRM B2B Google Sheets</t>
  </si>
  <si>
    <t>ID|Firma|Branża|Kontakt|Email|Tel|LinkedIn|Status|Data|Notatki|Następny krok. Min. 30 firm</t>
  </si>
  <si>
    <t>Sprzedaż</t>
  </si>
  <si>
    <t>19.05</t>
  </si>
  <si>
    <t>Faza 2+: Pipedrive. MVP: zakładka 💼 PIPELINE</t>
  </si>
  <si>
    <t>1.15</t>
  </si>
  <si>
    <t>Cold email template — 2 wersje A/B</t>
  </si>
  <si>
    <t>Temat A: 'Twoje logo na 10 autach w Warszawie'. Temat B: 'Twoja reklama: GPS pokazuje każdy km'. Max 150 słów</t>
  </si>
  <si>
    <t>Belfort hook + Hormozi oferta</t>
  </si>
  <si>
    <t>1.16</t>
  </si>
  <si>
    <t>Pakiety ofertowe dla reklamodawców</t>
  </si>
  <si>
    <t>START: 997 zł/mies. 1 pojazd | SCALE: 2497 zł/mies. 3–5 pojazdów. Gwarancja km. Panel GPS. Raport PDF</t>
  </si>
  <si>
    <t>Hormozi H.02–H.05 — stack wartości</t>
  </si>
  <si>
    <t>1.17</t>
  </si>
  <si>
    <t>Apollo.io do prospectingu B2B</t>
  </si>
  <si>
    <t>Apollo.io free: 50 eksportów/mies. Gastro/fitness/ecomm/RE + Warszawa + właściciel/CEO</t>
  </si>
  <si>
    <t>Alt: LinkedIn Sales Navigator 30 dni trial</t>
  </si>
  <si>
    <t>🚗 AdRide — FAZA 2: Akwizycja Kierowców &amp; Leady B2B (28.05–25.06.2026)</t>
  </si>
  <si>
    <t>🎯 KPI GATE: 50 kierowców waitinglist + 1 umowa pilotażowa podpisana + Case study Piotr gotowy + 1 umowa Rek. podpisana</t>
  </si>
  <si>
    <t xml:space="preserve">  🚗 AKWIZYCJA KIEROWCÓW (Supply — Brunson Funnel #1)</t>
  </si>
  <si>
    <t>2.01</t>
  </si>
  <si>
    <t>Carrd.co lub Webflow. Nagłówek: 'Zarabiaj 200–600 zł/mies. na reklamie na Twoim aucie.' Formularz: imię, tel, miasto, marka/model/rok</t>
  </si>
  <si>
    <t>Kierowcy</t>
  </si>
  <si>
    <t>31.05</t>
  </si>
  <si>
    <t>BLOKUJE cały supply funnel — ZRÓB W TYDZIEŃ 1</t>
  </si>
  <si>
    <t>2.02</t>
  </si>
  <si>
    <t>Posty w grupach FB Uber/Bolt/Kierowcy</t>
  </si>
  <si>
    <t>5 grup. Odpowiadaj na pytania 2 tyg. potem naturalnie wspomnij AdRide. Gary Vee: nie sprzedawaj, dawaj wartość</t>
  </si>
  <si>
    <t>05.06</t>
  </si>
  <si>
    <t>Grupy: 'Uber Polska', 'Bolt Kierowcy Warszawa'</t>
  </si>
  <si>
    <t>2.03</t>
  </si>
  <si>
    <t>OLX ogłoszenie: zarabiaj na reklamie</t>
  </si>
  <si>
    <t>Tytuł: 'Zarabiaj 200–600 zł/mies. na reklamie na aucie — Warszawa'. Opis: 3 punkty + link do landing page</t>
  </si>
  <si>
    <t>01.06</t>
  </si>
  <si>
    <t>OLX.pl bezpłatne ogłoszenie motoryzacja</t>
  </si>
  <si>
    <t>2.04</t>
  </si>
  <si>
    <t>Ulotki na parkingach przy galeriach</t>
  </si>
  <si>
    <t>A6, druk 500 szt. (~100 zł). Parkingi: Arkadia, Złote Tarasy, Galeria Mokotów, Sadyba</t>
  </si>
  <si>
    <t>10.06</t>
  </si>
  <si>
    <t>Najkosztowo-efektywny kanał dla kierowców</t>
  </si>
  <si>
    <t>2.05</t>
  </si>
  <si>
    <t>Kwalifikacja kierowców z formularza</t>
  </si>
  <si>
    <t>Auto &lt;8 lat ✅, przebieg &gt;1000 km/mies ✅, brak poważnych uszkodzeń ✅ → SMS auto + telefon 24h</t>
  </si>
  <si>
    <t>ciągłe</t>
  </si>
  <si>
    <t>Make.com automation możliwa</t>
  </si>
  <si>
    <t>2.06</t>
  </si>
  <si>
    <t>Onboarding 1–5 pierwszych kierowców</t>
  </si>
  <si>
    <t>Umowa (gotowa), zdjęcia auta, aplikacja GPS, termin oklejenia. CEL: 10 na waitingliście</t>
  </si>
  <si>
    <t>Justyna+Founder</t>
  </si>
  <si>
    <t>20.06</t>
  </si>
  <si>
    <t>10 kierowców na liście = KPI Gate</t>
  </si>
  <si>
    <t xml:space="preserve">  🎯 AKWIZYCJA REKLAMODAWCÓW (Demand — Kennedy + Belfort)</t>
  </si>
  <si>
    <t>2.07</t>
  </si>
  <si>
    <t>Kalkulator Zasięgu GPS (lead magnet)</t>
  </si>
  <si>
    <t>Google Sheets osadzony na stronie. Input: dzielnica+liczba aut+czas → km+impressions+CPM vs FB Ads</t>
  </si>
  <si>
    <t>B2B</t>
  </si>
  <si>
    <t>Brunson lead magnet — zbiera emaile</t>
  </si>
  <si>
    <t>2.08</t>
  </si>
  <si>
    <t>Sekwencja 5 emaili skonfigurowana</t>
  </si>
  <si>
    <t>Mailchimp/ConvertKit. E1:historia|E2:adblockery|E3:case study|E4:oferta|E5:urgency. Szkice w pliku sesji</t>
  </si>
  <si>
    <t>08.06</t>
  </si>
  <si>
    <t>Brunson B.03 — szkice gotowe w sesji</t>
  </si>
  <si>
    <t>2.09</t>
  </si>
  <si>
    <t>Cold outreach: 10 DM LinkedIn/dzień</t>
  </si>
  <si>
    <t>Personalizowane DM. Właściciele lokalnych firm Warszawa. Cel: 15-min rozmowa. Skrypt Belfort JB.01</t>
  </si>
  <si>
    <t>Cel: 50 DM/tydzień → 2–3 rozmowy</t>
  </si>
  <si>
    <t>2.10</t>
  </si>
  <si>
    <t>Cold email: 5 emaili/dzień</t>
  </si>
  <si>
    <t>Template Kennedy DK.01 wersja A+B. Follow-up +48h. Lista 30 firm Justyny</t>
  </si>
  <si>
    <t>Apollo.io free tier</t>
  </si>
  <si>
    <t>2.11</t>
  </si>
  <si>
    <t>5 demo/rozmów sprzedażowych/tydzień</t>
  </si>
  <si>
    <t>Google Meet + Calendly. Schema: Problem→GPS→Oferta→CTA. Nagrywaj za zgodą</t>
  </si>
  <si>
    <t>Cel: 1–2 umowy zamknięte/tydzień</t>
  </si>
  <si>
    <t>2.12</t>
  </si>
  <si>
    <t>Case study Piotr Gilarski — video + PDF</t>
  </si>
  <si>
    <t>Nagranie oklejenia + GPS + wyniki. PDF: km, mapa, zysk kierowcy, wyniki Reklamodawcy</t>
  </si>
  <si>
    <t>Brunson Email #3 — dowód społeczny</t>
  </si>
  <si>
    <t xml:space="preserve">  📱 CONTENT (Gary Vee) — RÓWNOLEGLE</t>
  </si>
  <si>
    <t>2.13</t>
  </si>
  <si>
    <t>TikTok/Reels: 3 filmy/tydzień</t>
  </si>
  <si>
    <t>Typy: dokumentacja oklejenia, GPS panel, wypłata kierowcy, rozmowa sprzedażowa (za zgodą)</t>
  </si>
  <si>
    <t>Content</t>
  </si>
  <si>
    <t>Zakładka 📱 CONTENT PLAN</t>
  </si>
  <si>
    <t>2.14</t>
  </si>
  <si>
    <t>LinkedIn: 3 posty/tydzień</t>
  </si>
  <si>
    <t>Mon: post tekstowy edukacyjny | Czw: post opinia/kontrowersja | Pt+So: engagement/odpowiedzi</t>
  </si>
  <si>
    <t>Cel: 100 followersów LinkedIn firmowego</t>
  </si>
  <si>
    <t>2.15</t>
  </si>
  <si>
    <t>Śniadanie Biznesowe AdRide #1 (koniec mies.2)</t>
  </si>
  <si>
    <t>15–20 właścicieli. Coworking Wwa. 90 min. Koszt ~500 zł. ROI: 2–3 klientów</t>
  </si>
  <si>
    <t>Content+B2B</t>
  </si>
  <si>
    <t>Cardone GC.02</t>
  </si>
  <si>
    <t>🚗 AdRide — FAZA 3: Pilotaż 5–10 Aut (25.06–31.07.2026)</t>
  </si>
  <si>
    <t>🎯 KPI GATE: 5–10 aut oklejonych + Raport GPS + Pierwsza faktura opłacona + Case study online</t>
  </si>
  <si>
    <t xml:space="preserve">  🚗 OKLEJENIE I AKTYWACJA</t>
  </si>
  <si>
    <t>3.01</t>
  </si>
  <si>
    <t>Oklejenie aut 1–5 (Włodek)</t>
  </si>
  <si>
    <t>Piotr Gilarski + 4 pierwsi kierowcy z waitinglisty. Zdjęcia przed/po. Protokół zdawczo-odbiorczy</t>
  </si>
  <si>
    <t>Pilotaż</t>
  </si>
  <si>
    <t>05.07</t>
  </si>
  <si>
    <t>Plik protokołu gotowy</t>
  </si>
  <si>
    <t>3.02</t>
  </si>
  <si>
    <t>Instalacja GPS na 5 autach</t>
  </si>
  <si>
    <t>Teltonika FMB920 lub apka mobilna. Konfiguracja. Test przejazdu testowego. Sprawdź zapis km</t>
  </si>
  <si>
    <t>07.07</t>
  </si>
  <si>
    <t>Wybór dostawcy GPS = prerequisite!</t>
  </si>
  <si>
    <t>3.03</t>
  </si>
  <si>
    <t>Podpisanie umów z 5 kierowcami</t>
  </si>
  <si>
    <t>Umowa Kierowca (gotowa). Zgoda GPS. Zgoda wizerunkowa (opcjonalna). Kopia na email</t>
  </si>
  <si>
    <t>3.04</t>
  </si>
  <si>
    <t>Podpisanie umowy z 1 Reklamodawcą</t>
  </si>
  <si>
    <t>Umowa Reklamodawca (gotowa — UZUPEŁNIĆ §5.1 cenami). Zlecenie Kampanii Zał.2. Faktura zaliczkowa</t>
  </si>
  <si>
    <t>30.06</t>
  </si>
  <si>
    <t>Pierwsza faktura = KPI Gate Fazy 3</t>
  </si>
  <si>
    <t>3.05</t>
  </si>
  <si>
    <t>Oklejenie aut 6–10 (jeśli popyt)</t>
  </si>
  <si>
    <t>Kolejni kierowcy z waitinglisty + kolejni reklamodawcy. Powtórz procedurę 3.01–3.04</t>
  </si>
  <si>
    <t>20.07</t>
  </si>
  <si>
    <t xml:space="preserve">  📊 MONITORING I RAPORTOWANIE</t>
  </si>
  <si>
    <t>3.06</t>
  </si>
  <si>
    <t>Tracking GPS przez 30 dni</t>
  </si>
  <si>
    <t>Codzienne sprawdzanie: czy GPS działa, czy km się zbierają, czy są przerwy. Alert przy problemie</t>
  </si>
  <si>
    <t>Manual tracking — przed aplikacją</t>
  </si>
  <si>
    <t>3.07</t>
  </si>
  <si>
    <t>Tygodniowe raporty do Reklamodawcy</t>
  </si>
  <si>
    <t>Email co tydzień: km, obszar, zdjęcia aut. Ręcznie z GPS export. Buduje zaufanie</t>
  </si>
  <si>
    <t>Brunson: dowód działa → case study</t>
  </si>
  <si>
    <t>3.08</t>
  </si>
  <si>
    <t>Miesięczna wypłata dla kierowców</t>
  </si>
  <si>
    <t>Kalkulacja: km miejskie × 0,60 zł + poza-miejskie × 0,25 zł. Próg 500 km min. Przelew/Revolut</t>
  </si>
  <si>
    <t>01.08</t>
  </si>
  <si>
    <t>Rachunek wynagrodzenia — plik gotowy</t>
  </si>
  <si>
    <t>3.09</t>
  </si>
  <si>
    <t>Raport końcowy 30 dni — pilot</t>
  </si>
  <si>
    <t>PDF: trasy GPS (mapa), km łącznie, impressions estymatowane, CPM vs FB, zdjęcia aut, cytat klienta</t>
  </si>
  <si>
    <t>Ten dokument sprzedaje kolejnych klientów</t>
  </si>
  <si>
    <t xml:space="preserve">  📝 CASE STUDY I CONTENT</t>
  </si>
  <si>
    <t>3.10</t>
  </si>
  <si>
    <t>Case study Pilotaż — pełna wersja</t>
  </si>
  <si>
    <t>Liczby: km, impressions, CPM, koszt/mies., komentarz klienta. Format: strona internetowa + PDF</t>
  </si>
  <si>
    <t>05.08</t>
  </si>
  <si>
    <t>Brunson Email #3 dla wszystkich leadów</t>
  </si>
  <si>
    <t>3.11</t>
  </si>
  <si>
    <t>Video dokumentacja pilotażu</t>
  </si>
  <si>
    <t>Film: oklejenie → GPS → jazda po Warszawie → wypłata kierowcy → komentarz Reklamodawcy. 2–5 min</t>
  </si>
  <si>
    <t>TikTok + YouTube + LinkedIn</t>
  </si>
  <si>
    <t>3.12</t>
  </si>
  <si>
    <t>Zebrane learningi do optymalizacji</t>
  </si>
  <si>
    <t>Co nie zadziałało? Jaki realny split km miasto/poza? Jaki czas onboarding? Koszty realne vs plan</t>
  </si>
  <si>
    <t>Analiza</t>
  </si>
  <si>
    <t>Input do Fazy 4 + update Unit Economics</t>
  </si>
  <si>
    <t>🚗 AdRide — FAZA 4: Platforma MVP + GPS App (01.07–15.08.2026)</t>
  </si>
  <si>
    <t>🎯 KPI GATE: GPS App iOS+Android live + Panel kierowcy + Panel reklamodawcy z mapą LIVE + Stripe Connect</t>
  </si>
  <si>
    <t xml:space="preserve">  📱 APLIKACJA GPS (Mobile App)</t>
  </si>
  <si>
    <t>4.01</t>
  </si>
  <si>
    <t>Wybór stacku tech — Mobile App</t>
  </si>
  <si>
    <t>React Native + Expo + expo-location (background GPS). Alternatywa: Flutter. Koszt: 0 zł devtools, hosting ~50 zł/mies.</t>
  </si>
  <si>
    <t>GPS App</t>
  </si>
  <si>
    <t>Founder+Dev</t>
  </si>
  <si>
    <t>React Native + Expo = najszybszy MVP</t>
  </si>
  <si>
    <t>4.02</t>
  </si>
  <si>
    <t>Tracker GPS — zbieranie danych</t>
  </si>
  <si>
    <t>lat/lon co 30 sek, dystans (Haversine), prędkość, timestamp, ID pojazdu, ID kampanii. Pauza 'tryb prywatny'. Dane → Supabase</t>
  </si>
  <si>
    <t>Dev</t>
  </si>
  <si>
    <t>15.07</t>
  </si>
  <si>
    <t>Background location iOS+Android — wymagane uprawnienia</t>
  </si>
  <si>
    <t>4.03</t>
  </si>
  <si>
    <t>Panel kierowcy — widok mobile</t>
  </si>
  <si>
    <t>Ekrany: Dashboard (km, zarobki, kampania), Mapa tras (historia), Wypłata (stan konta, daty), Profil</t>
  </si>
  <si>
    <t>25.07</t>
  </si>
  <si>
    <t>UX: proste, 30 sek dziennie</t>
  </si>
  <si>
    <t>4.04</t>
  </si>
  <si>
    <t>Zdjęcia dowodowe (proof-of-placement)</t>
  </si>
  <si>
    <t>Aparat → geotag GPS → timestamp → upload Supabase Storage. Admin widzi w panelu</t>
  </si>
  <si>
    <t>Wymagane przez DPIA — weryfikacja kampanii</t>
  </si>
  <si>
    <t>4.05</t>
  </si>
  <si>
    <t>Algorytm impressions GPS</t>
  </si>
  <si>
    <t>km przejechanych × AADT (GDDKiA) × strefy miejskie = estymowane impressions + CPM</t>
  </si>
  <si>
    <t>Dev+Founder</t>
  </si>
  <si>
    <t>Dane AADT bezpłatne: gddkia.gov.pl — USP produktu</t>
  </si>
  <si>
    <t>4.06</t>
  </si>
  <si>
    <t>TestFlight iOS + beta Android</t>
  </si>
  <si>
    <t>Dystrybucja do pierwszych 10 kierowców. Formularz feedbacku. Poprawki przed public launch</t>
  </si>
  <si>
    <t>Dev+Justyna</t>
  </si>
  <si>
    <t>10.08</t>
  </si>
  <si>
    <t>Apple Developer: 99$/rok. Android: APK bezpośrednio</t>
  </si>
  <si>
    <t xml:space="preserve">  🖥️ PANEL REKLAMODAWCY (Web Dashboard)</t>
  </si>
  <si>
    <t>4.07</t>
  </si>
  <si>
    <t>UX/UI panelu reklamodawcy</t>
  </si>
  <si>
    <t>Ekrany: Dashboard (km+impressions+CPM+mapa), Pojazdy (lista+zdjęcia), Raporty (PDF/CSV), Faktury</t>
  </si>
  <si>
    <t>Panel</t>
  </si>
  <si>
    <t>Stack: Next.js + Tailwind + Mapbox</t>
  </si>
  <si>
    <t>4.08</t>
  </si>
  <si>
    <t>Mapa LIVE tras GPS</t>
  </si>
  <si>
    <t>Mapbox GL JS. Poligony stref, heat map tras, filtr po czasie/pojazd. Update co 5 min (nie live stream — koszty)</t>
  </si>
  <si>
    <t>Mapbox free: 50k tile req/mies. Wybierz Mapbox nad Google Maps</t>
  </si>
  <si>
    <t>4.09</t>
  </si>
  <si>
    <t>Raporty automatyczne PDF + email</t>
  </si>
  <si>
    <t>Raport miesięczny: km, mapa, impressions, CPM, zdjęcia. Auto-wysyłka 1-go każdego mies. Stack: jsPDF</t>
  </si>
  <si>
    <t>Zastępuje ręczne PDF Justyny</t>
  </si>
  <si>
    <t>4.10</t>
  </si>
  <si>
    <t>Stripe Connect — płatności</t>
  </si>
  <si>
    <t>Marketplace model: Rek. płaci → AdRide prowizja → wypłata kierowcy auto. RODO: dane bankowe przez Stripe</t>
  </si>
  <si>
    <t>Stripe Connect: 0.25% + 0.25$ per payout</t>
  </si>
  <si>
    <t xml:space="preserve">  ⚙️ PANEL ADMINA + INFRASTRUKTURA</t>
  </si>
  <si>
    <t>4.11</t>
  </si>
  <si>
    <t>Panel admina</t>
  </si>
  <si>
    <t>Kampanie (CRUD), Kierowcy (km, wypłaty), Reklamodawcy (umowy), GPS monitoring, Alerty (pojazd nieaktywny)</t>
  </si>
  <si>
    <t>Admin</t>
  </si>
  <si>
    <t>Minimalistyczny — tylko co potrzeba</t>
  </si>
  <si>
    <t>4.12</t>
  </si>
  <si>
    <t>Supabase — baza + hosting</t>
  </si>
  <si>
    <t>PostgreSQL + REST API + Auth + Storage. Schema: vehicles, drivers, campaigns, gps_tracks, advertisers, reports</t>
  </si>
  <si>
    <t>Infra</t>
  </si>
  <si>
    <t>Free: 500 MB DB. Pro: ~25$/mies. przy skalowaniu</t>
  </si>
  <si>
    <t>4.13</t>
  </si>
  <si>
    <t>Testy E2E + soft launch</t>
  </si>
  <si>
    <t>Kierowca jedzie → GPS → panel Rek. widzi → raport generuje. UAT z 10 kierowcami. Fix bugs.</t>
  </si>
  <si>
    <t>Testy</t>
  </si>
  <si>
    <t>Dev+Founder+Justyna</t>
  </si>
  <si>
    <t>KPI Gate: GPS v1 + panel kier. + panel Rek. LIVE</t>
  </si>
  <si>
    <t>🚗 AdRide — FAZA 5: Skalowanie 50 Aut (15.08–23.10.2026)</t>
  </si>
  <si>
    <t>🎯 KPI GATE: 50 aktywnych aut + 5 reklamodawców (min. 1 SCALE) + MRR ≥ 100 000 zł</t>
  </si>
  <si>
    <t xml:space="preserve">  🚀 SKALOWANIE SUPPLY (50 Kierowców)</t>
  </si>
  <si>
    <t>5.01</t>
  </si>
  <si>
    <t>Rekrut. 1. osoby do pozyskiwania kierowców</t>
  </si>
  <si>
    <t>Student/freelancer. 2–3k zł/mies. Task: grupy FB, OLX, ulotki, telefony kwalifikacyjne</t>
  </si>
  <si>
    <t>Team</t>
  </si>
  <si>
    <t>20.08</t>
  </si>
  <si>
    <t>Cardone: skaluj aktywność 10x</t>
  </si>
  <si>
    <t>5.02</t>
  </si>
  <si>
    <t>Rozszerz kanały rekrutacji kierowców</t>
  </si>
  <si>
    <t>Kampania TikTok Ads (500 zł test). Ogłoszenie Pracuj.pl. Partnerstwo z parkingami firmowymi</t>
  </si>
  <si>
    <t>Justyna+Rekruter</t>
  </si>
  <si>
    <t>01.09</t>
  </si>
  <si>
    <t>5.03</t>
  </si>
  <si>
    <t>Automatyzacja onboardingu kierowcy</t>
  </si>
  <si>
    <t>Make.com: formularz → weryfikacja GPT-4o Vision (zdjęcia auta) → SMS → umowa e-sign → GPS aktywacja</t>
  </si>
  <si>
    <t>Automatyzacja</t>
  </si>
  <si>
    <t>Oszczędność: 2–3h/kierowca</t>
  </si>
  <si>
    <t>5.04</t>
  </si>
  <si>
    <t>Cel: 50 aktywnych aut</t>
  </si>
  <si>
    <t>Tracking tygodniowy w Dashboard. 50 aut = KPI Gate do Fazy 6</t>
  </si>
  <si>
    <t xml:space="preserve">  💼 SKALOWANIE DEMAND (5–10 Reklamodawców)</t>
  </si>
  <si>
    <t>5.05</t>
  </si>
  <si>
    <t>Partnerstwo z 3 agencjami reklamowymi Wwa</t>
  </si>
  <si>
    <t>Propozycja: 15% prowizji od kontraktu. Agencja dostaje white-label raport z logo swoim</t>
  </si>
  <si>
    <t>Cardone: jeden partner agencyjny = 3–5 klientów</t>
  </si>
  <si>
    <t>5.06</t>
  </si>
  <si>
    <t>Upsell do pierwszych klientów (2. pojazd)</t>
  </si>
  <si>
    <t>Reklamodawcy z 3 mies. pilotażu → offer 2. pojazd w tej samej dzielnicy. Hormozi: upsell łatwiejszy niż nowy klient</t>
  </si>
  <si>
    <t>5.07</t>
  </si>
  <si>
    <t>Śniadanie Biznesowe #2 — z referencją</t>
  </si>
  <si>
    <t>Obecny klient jako gość/mówca. 20 firm. Coworking. Koszt ~500 zł. ROI: 3–5 klientów</t>
  </si>
  <si>
    <t>15.09</t>
  </si>
  <si>
    <t>Brunson social proof w praktyce</t>
  </si>
  <si>
    <t>5.08</t>
  </si>
  <si>
    <t>Cel: MRR ≥ 100 000 zł</t>
  </si>
  <si>
    <t>~80 START + ~8 SCALE. Tracking tygodniowy w Dashboard</t>
  </si>
  <si>
    <t>Przychody</t>
  </si>
  <si>
    <t xml:space="preserve">  🤖 AUTOMATYZACJE (Kennedy — Direct Response)</t>
  </si>
  <si>
    <t>5.09</t>
  </si>
  <si>
    <t>Auto-raporty PDF miesięczne</t>
  </si>
  <si>
    <t>jsPDF + cron job. 1-go każdego mies. raport → email do Reklamodawcy. 0 ręcznej pracy</t>
  </si>
  <si>
    <t>5.10</t>
  </si>
  <si>
    <t>Auto-wypłaty kierowców Stripe Connect</t>
  </si>
  <si>
    <t>1 klik admin → wypłaty do wszystkich kierowców. Automated PIT-11 z inFakt API</t>
  </si>
  <si>
    <t>5.11</t>
  </si>
  <si>
    <t>CRM upgrade: Pipedrive</t>
  </si>
  <si>
    <t>Free: 14 dni trial → 19€/mies. Pipeline B2B, automatyczne follow-upy, przypomnienia</t>
  </si>
  <si>
    <t>🚗 AdRide — FAZA 6: Break-even 100 Aut (23.10–31.12.2026)</t>
  </si>
  <si>
    <t>🎯 KPI GATE: 100 aktywnych aut + Zysk op. ≥ 25 000 zł/mies. + Start 2. miasto (5 aut live)</t>
  </si>
  <si>
    <t xml:space="preserve">  💰 BREAK-EVEN &amp; PROFITABILITY</t>
  </si>
  <si>
    <t>6.01</t>
  </si>
  <si>
    <t>Cel: 100 aktywnych aut</t>
  </si>
  <si>
    <t>Tracking tygodniowy. 100 aut × ~997 zł = ~99 700 zł MRR. Korekta modelu przy nowych danych</t>
  </si>
  <si>
    <t>Finanse</t>
  </si>
  <si>
    <t>6.02</t>
  </si>
  <si>
    <t>Zysk operacyjny ≥ 25 000 zł/mies.</t>
  </si>
  <si>
    <t>MRR (~100k) - koszty zmienne (wypłaty kier., GPS, foliowanie) - stałe (team, IT) ≥ 25k</t>
  </si>
  <si>
    <t>Break-even to KPI nr 1</t>
  </si>
  <si>
    <t>6.03</t>
  </si>
  <si>
    <t>Profesjonalne finanse: CFO part-time</t>
  </si>
  <si>
    <t>Przy MRR &gt;50k zatrudnij CFO part-time. Modele finansowe, cashflow, przygotowanie do fundrasingu</t>
  </si>
  <si>
    <t>01.11</t>
  </si>
  <si>
    <t xml:space="preserve">  🌍 EKSPANSJA — 2. MIASTO</t>
  </si>
  <si>
    <t>6.04</t>
  </si>
  <si>
    <t>Waitinglist Kraków i Wrocław</t>
  </si>
  <si>
    <t>Formularz na stronie już teraz: 'Zapisz się — AdRide wchodzi do Twojego miasta'. Dane: ilu kierowców zainteresowanych</t>
  </si>
  <si>
    <t>Ekspansja</t>
  </si>
  <si>
    <t>Cardone GC.04 — zbieraj od teraz</t>
  </si>
  <si>
    <t>6.05</t>
  </si>
  <si>
    <t>Analiza rynku: Kraków vs Wrocław</t>
  </si>
  <si>
    <t>Liczba firm lokalnych, natężenie ruchu, konkurencja OOH, dostępność foliarzy</t>
  </si>
  <si>
    <t>15.11</t>
  </si>
  <si>
    <t>6.06</t>
  </si>
  <si>
    <t>Rekrutacja City Managera (Miasto 2)</t>
  </si>
  <si>
    <t>Osoba lokalna, sieć kontaktów biznesowych, doświadczenie sales. Model: prowizja + base</t>
  </si>
  <si>
    <t>01.12</t>
  </si>
  <si>
    <t>6.07</t>
  </si>
  <si>
    <t>Start operacyjny Miasto 2</t>
  </si>
  <si>
    <t>5 aut + 1 reklamodawca. Powtórz playbook Warszawski</t>
  </si>
  <si>
    <t>Founder+City Mgr</t>
  </si>
  <si>
    <t>KPI: 1 kampania live w Mieście 2</t>
  </si>
  <si>
    <t xml:space="preserve">  💵 FUNDRAISING &amp; SKALOWANIE</t>
  </si>
  <si>
    <t>6.08</t>
  </si>
  <si>
    <t>Pitch deck v3.0 z danymi z pilotażu</t>
  </si>
  <si>
    <t>Slajdy z realnymi km, MRR, CPM vs FB, case studies, projekcje 2027</t>
  </si>
  <si>
    <t>Fundraising</t>
  </si>
  <si>
    <t>Cardone + Robbins: dane &gt; deklaracje</t>
  </si>
  <si>
    <t>6.09</t>
  </si>
  <si>
    <t>Rozmowy z 5 inwestorami (VC/Angels)</t>
  </si>
  <si>
    <t>Fokus: seed 500k–1M PLN. Use of funds: tech (GPS App v2), team, ekspansja 3 miast</t>
  </si>
  <si>
    <t>15.12</t>
  </si>
  <si>
    <t>Sfundr.com, Movens VC, Tar Heel Capital</t>
  </si>
  <si>
    <t>6.10</t>
  </si>
  <si>
    <t>GPS App v2.0 — roadmap 2027</t>
  </si>
  <si>
    <t>Nowe features: API dla agencji, white-label, integracja OOH measurement, AI targeting</t>
  </si>
  <si>
    <t>Tech</t>
  </si>
  <si>
    <t>6.11</t>
  </si>
  <si>
    <t>Przegląd roczny — retro i plan 2027</t>
  </si>
  <si>
    <t>Co działało? Co zmieniamy? Model finansowy Q1–Q4 2027. Robbins: annual review</t>
  </si>
  <si>
    <t>Strategia</t>
  </si>
  <si>
    <t>💼 PIPELINE B2B — AdRide Tracker Reklamodawców</t>
  </si>
  <si>
    <t>Cardone: 100 kontaktów = 3 klientów | Cel: 10 DM/dzień + 5 emaili/dzień + 2 cold calls/dzień</t>
  </si>
  <si>
    <t xml:space="preserve">  📊 STATUSY PIPELINE — jak rozumieć etapy</t>
  </si>
  <si>
    <t>ETAP</t>
  </si>
  <si>
    <t>OPIS</t>
  </si>
  <si>
    <t>NASTĘPNY KROK</t>
  </si>
  <si>
    <t>1 — ZIMNY LEAD</t>
  </si>
  <si>
    <t>Masz kontakt, nie było żadnej komunikacji</t>
  </si>
  <si>
    <t>Wyszukaj na LinkedIn/Apollo → wpisz do listy</t>
  </si>
  <si>
    <t>2 — SKONTAKTOWANY</t>
  </si>
  <si>
    <t>Wysłano DM / email / zadzwoniono</t>
  </si>
  <si>
    <t>Odczekaj 48h → follow-up</t>
  </si>
  <si>
    <t>3 — ODPOWIEDŹ</t>
  </si>
  <si>
    <t>Lead odpowiedział (pozytywnie lub pytanie)</t>
  </si>
  <si>
    <t>Wyślij kalkulator GPS lub zaproponuj rozmowę</t>
  </si>
  <si>
    <t>4 — ROZMOWA UMÓWIONA</t>
  </si>
  <si>
    <t>Calendly potwierdzony</t>
  </si>
  <si>
    <t>Przygotuj case study + ofertę pakietową</t>
  </si>
  <si>
    <t>5 — DEMO/ROZMOWA</t>
  </si>
  <si>
    <t>15-min Google Meet przeprowadzone</t>
  </si>
  <si>
    <t>Wyślij ofertę w 24h po rozmowie</t>
  </si>
  <si>
    <t>6 — OFERTA WYSŁANA</t>
  </si>
  <si>
    <t>Email z pakietem START lub SCALE</t>
  </si>
  <si>
    <t>Follow-up co 3 dni, maks. 3 razy</t>
  </si>
  <si>
    <t>7 — NEGOCJACJE</t>
  </si>
  <si>
    <t>Lead prosi o zmiany / zadaje pytania</t>
  </si>
  <si>
    <t>Objekcje → skrypt Belfort JB.02</t>
  </si>
  <si>
    <t>8 — UMOWA PODPISANA ✅</t>
  </si>
  <si>
    <t>Kontrakt podpisany, faktura zaliczkowa</t>
  </si>
  <si>
    <t>Onboarding → Faza oklejenia</t>
  </si>
  <si>
    <t>9 — ODRZUCONY</t>
  </si>
  <si>
    <t>Lead powiedział nie</t>
  </si>
  <si>
    <t>Zapytaj o powód. Dodaj do follow-up za 3 mies.</t>
  </si>
  <si>
    <t xml:space="preserve">  📋 LISTA LEADÓW — aktualizuj codziennie</t>
  </si>
  <si>
    <t>FIRMA</t>
  </si>
  <si>
    <t>BRANŻA</t>
  </si>
  <si>
    <t>KONTAKT (Imię)</t>
  </si>
  <si>
    <t>EMAIL / LinkedIn</t>
  </si>
  <si>
    <t>ETAP (1–9)</t>
  </si>
  <si>
    <t>DATA KONTAKTU</t>
  </si>
  <si>
    <t>FOLLOW-UP</t>
  </si>
  <si>
    <t>PAKIET</t>
  </si>
  <si>
    <t>NEXT STEP</t>
  </si>
  <si>
    <t>Restauracja Noworolski (przykład)</t>
  </si>
  <si>
    <t>Gastro</t>
  </si>
  <si>
    <t>Anna K.</t>
  </si>
  <si>
    <t>[LinkedIn/email]</t>
  </si>
  <si>
    <t>1-ZIMNY</t>
  </si>
  <si>
    <t>START — 997 zł</t>
  </si>
  <si>
    <t>Wyślij DM wg skryptu Kennedy DK.01</t>
  </si>
  <si>
    <t>Klinika Stomatologiczna Śródmieście</t>
  </si>
  <si>
    <t>Medycyna</t>
  </si>
  <si>
    <t>Dr. Kowalski</t>
  </si>
  <si>
    <t>Studio Fitness Mokotów</t>
  </si>
  <si>
    <t>Fitness</t>
  </si>
  <si>
    <t>Marek W.</t>
  </si>
  <si>
    <t>Deweloper mieszkaniowy Wilanów</t>
  </si>
  <si>
    <t>Nieruchomości</t>
  </si>
  <si>
    <t>CEO/Marketing</t>
  </si>
  <si>
    <t>SCALE — 2497 zł</t>
  </si>
  <si>
    <t>Wilanów = dobry obszar</t>
  </si>
  <si>
    <t>E-commerce — sklep lokalny</t>
  </si>
  <si>
    <t>eComm</t>
  </si>
  <si>
    <t>Właściciel</t>
  </si>
  <si>
    <t>📱 CONTENT PLAN — AdRide (Gary Vee Framework)</t>
  </si>
  <si>
    <t>Document don't create. TikTok + LinkedIn + Reels + FB Grupy. Zero paid ads pierwsze 90 dni.</t>
  </si>
  <si>
    <t xml:space="preserve">  🎯 FILARY CONTENTU — 5 typów postów</t>
  </si>
  <si>
    <t>TYP</t>
  </si>
  <si>
    <t>PLATFORMA</t>
  </si>
  <si>
    <t>FORMAT / PRZYKŁAD</t>
  </si>
  <si>
    <t>CEL</t>
  </si>
  <si>
    <t>CZĘSTOTLIWOŚĆ</t>
  </si>
  <si>
    <t>📖 STORY</t>
  </si>
  <si>
    <t>Historia z lekcją</t>
  </si>
  <si>
    <t>TikTok/Reels 60 sek</t>
  </si>
  <si>
    <t>Hook 3 sek + środek + CTA. Przykład: 'Naklejam reklamy na auta i płacę za każdy km'</t>
  </si>
  <si>
    <t>Najwyższy zasięg organiczny</t>
  </si>
  <si>
    <t>2–3x/tydzień</t>
  </si>
  <si>
    <t>🎓 EDUKACJA</t>
  </si>
  <si>
    <t>Krok po kroku</t>
  </si>
  <si>
    <t>LinkedIn post tekstowy</t>
  </si>
  <si>
    <t>'Dlaczego 42% Polaków nie zobaczy Twojej reklamy na FB'. Dane + rozwiązanie</t>
  </si>
  <si>
    <t>Buduje autorytet B2B</t>
  </si>
  <si>
    <t>🌶️ OPINIA</t>
  </si>
  <si>
    <t>Kontrowersyjny pogląd</t>
  </si>
  <si>
    <t>LinkedIn + TikTok</t>
  </si>
  <si>
    <t>'Lokalne firmy przepłacają za digital'. Pytanie na końcu = komentarze = zasięg</t>
  </si>
  <si>
    <t>Największy engagement</t>
  </si>
  <si>
    <t>📊 PROOF</t>
  </si>
  <si>
    <t>Wyniki, liczby, dane</t>
  </si>
  <si>
    <t>Instagram carousel + LinkedIn</t>
  </si>
  <si>
    <t>Mapa GPS, km, CPM vs FB. Po każdej kampanii nowy proof</t>
  </si>
  <si>
    <t>Zamyka sprzedaż B2B</t>
  </si>
  <si>
    <t>🎬 DOKUMENTACJA</t>
  </si>
  <si>
    <t>Behind the scenes</t>
  </si>
  <si>
    <t>TikTok/Reels 30 sek</t>
  </si>
  <si>
    <t>Oklejenie, GPS panel, wypłata kierowcy, jazda po Wwa. 1 dzień = 2 tyg. contentu</t>
  </si>
  <si>
    <t>Najłatwiejszy do produkcji</t>
  </si>
  <si>
    <t xml:space="preserve">  📅 KALENDARZ POSTÓW — PIERWSZE 4 TYGODNIE</t>
  </si>
  <si>
    <t>TYDZIEŃ/DZIEŃ</t>
  </si>
  <si>
    <t>FORMAT</t>
  </si>
  <si>
    <t>TEMAT / TREŚĆ (gotowa do użycia)</t>
  </si>
  <si>
    <t>EKSPERT</t>
  </si>
  <si>
    <t>TYG 1 | Poniedziałek</t>
  </si>
  <si>
    <t>LinkedIn</t>
  </si>
  <si>
    <t>Post tekstowy</t>
  </si>
  <si>
    <t>NAGŁÓWEK: 'Dlaczego 42% Polaków nigdy nie zobaczy Twojej reklamy na Facebooku.'
TREŚĆ: Ad-blockery. Algorytm. CPC rośnie 19% r/r. Jest 1 forma reklamy której nie da się zablokować: fizyczna, na ulicy. CTA: 'Buduję to w Warszawie. Szukam 5 lokalnych biznesów które chcą przetestować jako pierwsze. Napisz DM.' #reklamawarszawa</t>
  </si>
  <si>
    <t>Gary Vee</t>
  </si>
  <si>
    <t>TYG 1 | Wtorek</t>
  </si>
  <si>
    <t>TikTok + Reels</t>
  </si>
  <si>
    <t>Video 60 sek</t>
  </si>
  <si>
    <t>HOOK (pierwsze 3 sek): 'Naklejam reklamy na auta w Warszawie i płacę kierowcom za każdy km. Oto jak.'
Pokaż: auto przed → folia → GPS panel → km → wypłata. CTA: 'Jeśli masz auto w Warszawie — link w bio'</t>
  </si>
  <si>
    <t>TYG 1 | Środa</t>
  </si>
  <si>
    <t>Facebook Grupy</t>
  </si>
  <si>
    <t>Post pytanie</t>
  </si>
  <si>
    <t>'Kierowcy Uber/Bolt — ile km robicie miesięcznie? Piszcie w komentarzach.' (5 grup) — nie sprzedawaj, zbieraj dane i zaangażowanie</t>
  </si>
  <si>
    <t>TYG 1 | Czwartek</t>
  </si>
  <si>
    <t>Post opinia</t>
  </si>
  <si>
    <t>NAGŁÓWEK: 'Małe firmy przepłacają za digital. Oto liczby.'
Lokalna klinika vs AdRide CPM. Kontrowersja + pytanie = komentarze</t>
  </si>
  <si>
    <t>TYG 1 | Piątek</t>
  </si>
  <si>
    <t>Instagram</t>
  </si>
  <si>
    <t>Carousel</t>
  </si>
  <si>
    <t>Before/after oklejonego auta + schemat 3 kroków jak działa AdRide. 5 slajdów. Canva template.</t>
  </si>
  <si>
    <t>TYG 1 | Codziennie</t>
  </si>
  <si>
    <t>$1.80 Strategy</t>
  </si>
  <si>
    <t>9 komentarzy na postach #marketingwarszawa #restauracjawarszawa #lokalnymarketing. 30 min/dzień. WARTOŚCIOWE — nie 'świetny post!'</t>
  </si>
  <si>
    <t>TYG 2 | Wtorek</t>
  </si>
  <si>
    <t>'Sprawdzam GPS o 7 rano — gdzie dziś jeździła reklama mojego klienta.' Panel GPS, mapa, km. Live feeling.</t>
  </si>
  <si>
    <t>TYG 2 | Środa</t>
  </si>
  <si>
    <t>Case study post</t>
  </si>
  <si>
    <t>Wyniki pilotażu (nawet dane z DPIA testowe). Km, CPM, mapa, cytat klienta. Carousel LinkedIn.</t>
  </si>
  <si>
    <t>TYG 2 | Piątek</t>
  </si>
  <si>
    <t>TikTok</t>
  </si>
  <si>
    <t>Behind scenes</t>
  </si>
  <si>
    <t>'Dzień oklejenia auta — od folii do drogi.' Time-lapse 30 sek. Muzyka trendująca.</t>
  </si>
  <si>
    <t>TYG 3 | Wtorek</t>
  </si>
  <si>
    <t>'Kierowca pokazuje swoją pierwszą wypłatę z AdRide.' (za zgodą). Autentyczność = zasięg.</t>
  </si>
  <si>
    <t>TYG 3 | Czwartek</t>
  </si>
  <si>
    <t>Edukacja B2B</t>
  </si>
  <si>
    <t>'Jak obliczyć CPM reklamy mobilnej GPS vs Facebook Ads Warszawa.' Liczby + kalkulator link.</t>
  </si>
  <si>
    <t>TYG 3 | Sobota</t>
  </si>
  <si>
    <t>Dokumentacja</t>
  </si>
  <si>
    <t>'Jadę po Warszawie i szukam własnych aut z reklamami.' Vlog-style. Bardzo ludzkie.</t>
  </si>
  <si>
    <t>TYG 4 | Środa</t>
  </si>
  <si>
    <t>Milestone</t>
  </si>
  <si>
    <t>'Pierwsze 10 aut oklejonych w Warszawie — co się nauczyłem.' Transparentność = autorytet.</t>
  </si>
  <si>
    <t>TYG 4 | Piątek</t>
  </si>
  <si>
    <t>TikTok + LinkedIn</t>
  </si>
  <si>
    <t>Proof</t>
  </si>
  <si>
    <t>Case study pełny: km, mapa, CPM, komentarz Reklamodawcy. Pierwsza kampania zakończona.</t>
  </si>
  <si>
    <t>🧮 UNIT ECONOMICS — Kalkulator AdRide</t>
  </si>
  <si>
    <t>Żółte pola = wpisz dane. Białe pola = obliczane automatycznie. Hormozi: cena musi mieć sens dla obu stron.</t>
  </si>
  <si>
    <t xml:space="preserve">  📋 STAWKI Z UMÓW (dane wejściowe — Umowa Kierowcy §5.1)</t>
  </si>
  <si>
    <t>PARAMETR</t>
  </si>
  <si>
    <t>WARTOŚĆ</t>
  </si>
  <si>
    <t>JEDNOSTKA</t>
  </si>
  <si>
    <t>ŹRÓDŁO</t>
  </si>
  <si>
    <t>UWAGI</t>
  </si>
  <si>
    <t>Stawka km miejskie (do 50 km dziennie)</t>
  </si>
  <si>
    <t>0.60</t>
  </si>
  <si>
    <t>zł/km</t>
  </si>
  <si>
    <t>Umowa Kierowcy §5.1</t>
  </si>
  <si>
    <t>Możliwość zmiany</t>
  </si>
  <si>
    <t>Stawka km poza-miejskie (powyżej 50 km dziennie)</t>
  </si>
  <si>
    <t>0.25</t>
  </si>
  <si>
    <t>Minimalny przebieg miesięczny</t>
  </si>
  <si>
    <t>500</t>
  </si>
  <si>
    <t>km/mies</t>
  </si>
  <si>
    <t>Umowa Kierowcy §3.2</t>
  </si>
  <si>
    <t>Próg aktywacji wypłaty</t>
  </si>
  <si>
    <t>Próg minimalnej wypłaty</t>
  </si>
  <si>
    <t>zł</t>
  </si>
  <si>
    <t>Umowa Kierowcy §5.2</t>
  </si>
  <si>
    <t>Jeśli &lt;500 km — brak wypłaty</t>
  </si>
  <si>
    <t xml:space="preserve">  💰 CENY DLA REKLAMODAWCY — DO UZUPEŁNIENIA (Umowa Rek. §5.1 PUSTE!)</t>
  </si>
  <si>
    <t>ELEMENT</t>
  </si>
  <si>
    <t>PAKIET START</t>
  </si>
  <si>
    <t>PAKIET SCALE</t>
  </si>
  <si>
    <t>SKĄD WIEDZIEĆ</t>
  </si>
  <si>
    <t>Opłata oklejenia (jednorazowo)</t>
  </si>
  <si>
    <t>[WPISZ po wycenie Włodka]</t>
  </si>
  <si>
    <t>[WPISZ]</t>
  </si>
  <si>
    <t>Cena Włodka + marża AdRide 30%</t>
  </si>
  <si>
    <t>❌ PUSTE — BLOKUJE SPRZEDAŻ</t>
  </si>
  <si>
    <t>Opłata miesięczna</t>
  </si>
  <si>
    <t>997 zł netto (Hormozi)</t>
  </si>
  <si>
    <t>2 497 zł netto (Hormozi)</t>
  </si>
  <si>
    <t>Benchmark Wrapify USA ~300$/auto</t>
  </si>
  <si>
    <t>⚠️ PROPOZYCJA Hormozi — potwierdź</t>
  </si>
  <si>
    <t>Opłata demontażu (jednorazowo)</t>
  </si>
  <si>
    <t>Cena Włodka + marża AdRide 20%</t>
  </si>
  <si>
    <t>❌ PUSTE</t>
  </si>
  <si>
    <t>Minimalny okres kontraktu</t>
  </si>
  <si>
    <t>3 miesiące</t>
  </si>
  <si>
    <t>6 miesięcy</t>
  </si>
  <si>
    <t>Standard rynkowy</t>
  </si>
  <si>
    <t>✅ OK</t>
  </si>
  <si>
    <t>Liczba pojazdów</t>
  </si>
  <si>
    <t>3–5</t>
  </si>
  <si>
    <t>—</t>
  </si>
  <si>
    <t>Gwarancja km/pojazd/mies.</t>
  </si>
  <si>
    <t>1 500 km</t>
  </si>
  <si>
    <t>5 000 km łącznie</t>
  </si>
  <si>
    <t>Hormozi: 'Kilometr albo Zwrot'</t>
  </si>
  <si>
    <t>⏳ Do wdrożenia w umowie</t>
  </si>
  <si>
    <t xml:space="preserve">  🚗 KALKULACJA ZAROBKU KIEROWCY — 4 scenariusze</t>
  </si>
  <si>
    <t>SCENARIUSZ</t>
  </si>
  <si>
    <t>KM/MIES.</t>
  </si>
  <si>
    <t>SPLIT MIASTO/POZA</t>
  </si>
  <si>
    <t>ZAROBEK</t>
  </si>
  <si>
    <t>KOMENTARZ</t>
  </si>
  <si>
    <t>Minimalny (500 km)</t>
  </si>
  <si>
    <t>500 km</t>
  </si>
  <si>
    <t>100% miasto = 500×0,60</t>
  </si>
  <si>
    <t>300 zł</t>
  </si>
  <si>
    <t>❌ Poniżej progu 500 zł — brak wypłaty! Zmień komunikację.</t>
  </si>
  <si>
    <t>Realistyczny A (800 km)</t>
  </si>
  <si>
    <t>800 km</t>
  </si>
  <si>
    <t>70% miasto (560 km) + 30% poza (240 km)</t>
  </si>
  <si>
    <t>560×0,60 + 240×0,25 = 396 zł</t>
  </si>
  <si>
    <t>❌ UWAGA: 396 zł ≠ '600 zł' w komunikacji B2C — ZMIEŃ!</t>
  </si>
  <si>
    <t>Dobry (1 200 km)</t>
  </si>
  <si>
    <t>1 200 km</t>
  </si>
  <si>
    <t>70% miasto (840 km) + 30% poza (360 km)</t>
  </si>
  <si>
    <t>840×0,60 + 360×0,25 = 594 zł</t>
  </si>
  <si>
    <t>⚠️ Bliżej 600 zł — ale nadal niekoniecznie 'do 1500 zł'</t>
  </si>
  <si>
    <t>Uber/Bolt driver (3 000 km)</t>
  </si>
  <si>
    <t>3 000 km</t>
  </si>
  <si>
    <t>80% miasto (2400 km) + 20% poza (600 km)</t>
  </si>
  <si>
    <t>2400×0,60 + 600×0,25 = 1 590 zł</t>
  </si>
  <si>
    <t>✅ Realny dla zawodowych kierowców. Komunikacja 'do 1500 zł' OK</t>
  </si>
  <si>
    <t>KOMUNIKACJA POPRAWNA</t>
  </si>
  <si>
    <t>350–700 zł/mies. dla typowego</t>
  </si>
  <si>
    <t>✅ Zmień na widełki. 'Do 1500 zł' tylko dla zawodowych</t>
  </si>
  <si>
    <t xml:space="preserve">  📈 MARŻA ADRIDE / POJAZD (PAKIET START — 1 pojazd)</t>
  </si>
  <si>
    <t>POZYCJA</t>
  </si>
  <si>
    <t>KWOTA</t>
  </si>
  <si>
    <t>(+) Opłata miesięczna od Reklamodawcy</t>
  </si>
  <si>
    <t>997 zł</t>
  </si>
  <si>
    <t>Hormozi — potwierdź rynkowo</t>
  </si>
  <si>
    <t>Hormozi H.02</t>
  </si>
  <si>
    <t>(-) Wynagrodzenie Kierowcy (1200 km, 70/30%)</t>
  </si>
  <si>
    <t>~594 zł</t>
  </si>
  <si>
    <t>Realistyczny scenariusz</t>
  </si>
  <si>
    <t>Umowa Kier. §5.1</t>
  </si>
  <si>
    <t>(-) Koszt GPS abonament</t>
  </si>
  <si>
    <t>~25 zł</t>
  </si>
  <si>
    <t>Teltonika FMB920 + SIM M2M</t>
  </si>
  <si>
    <t>Wybór dostawcy GPS</t>
  </si>
  <si>
    <t>(-) Koszty operacyjne (ops, admin)</t>
  </si>
  <si>
    <t>~80 zł</t>
  </si>
  <si>
    <t>2h × 40 zł/h — estymacja</t>
  </si>
  <si>
    <t>Po pilotażu zmierzyć</t>
  </si>
  <si>
    <t>(-) Obsługa raportu i komunikacji</t>
  </si>
  <si>
    <t>~30 zł</t>
  </si>
  <si>
    <t>Maile, PDF, call</t>
  </si>
  <si>
    <t>~268 zł</t>
  </si>
  <si>
    <t>~26.9% od MRR</t>
  </si>
  <si>
    <t>100 aut = ~26 800 zł/mies.</t>
  </si>
  <si>
    <t>❗ UWAGA: oklejenie to koszt jednorazowy</t>
  </si>
  <si>
    <t>jednorazowo</t>
  </si>
  <si>
    <t>Nie wliczony w marżę mies.</t>
  </si>
  <si>
    <t>Wlicz przy CAC</t>
  </si>
  <si>
    <t xml:space="preserve">  💰 BREAK-EVEN ANALIZA (przy marży ~268 zł/pojazd)</t>
  </si>
  <si>
    <t>SCENARIUSZ KOSZTOWY</t>
  </si>
  <si>
    <t>STAŁE KOSZTY MIES.</t>
  </si>
  <si>
    <t>ILE AUT DO BREAK-EVEN</t>
  </si>
  <si>
    <t>KIEDY OSIĄGALNE</t>
  </si>
  <si>
    <t>Founder solo (bez Justyny FT)</t>
  </si>
  <si>
    <t>~2 500 zł</t>
  </si>
  <si>
    <t>10 aut</t>
  </si>
  <si>
    <t>~2 tyg. po uruchom. 10 aut</t>
  </si>
  <si>
    <t>Realistyczny start</t>
  </si>
  <si>
    <t>Z Justyną 3k zł + koszty</t>
  </si>
  <si>
    <t>~6 000 zł</t>
  </si>
  <si>
    <t>23 auta</t>
  </si>
  <si>
    <t>Koniec Fazy 3</t>
  </si>
  <si>
    <t>Pełny team (Founder+PM+Rekruter+Dev PT)</t>
  </si>
  <si>
    <t>~15 000 zł</t>
  </si>
  <si>
    <t>57 aut</t>
  </si>
  <si>
    <t>Faza 5 — 50+ aut</t>
  </si>
  <si>
    <t>Pełna platforma (team+dev+marketing)</t>
  </si>
  <si>
    <t>~25 000 zł</t>
  </si>
  <si>
    <t>94 auta</t>
  </si>
  <si>
    <t>Faza 6 — 100 aut</t>
  </si>
  <si>
    <t>Target Fazy 6: 100 aut + 25k zysku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</si>
</sst>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AAAAAA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10"/>
      <color rgb="FF1A4A80"/>
      <name val="Calibri"/>
    </font>
    <font>
      <sz val="8"/>
      <color rgb="FF555555"/>
      <name val="Calibri"/>
    </font>
    <font>
      <b/>
      <sz val="10"/>
      <color rgb="FF1A1A2E"/>
      <name val="Calibri"/>
    </font>
    <font>
      <sz val="9"/>
      <color rgb="FF1A1A2E"/>
      <name val="Calibri"/>
    </font>
    <font>
      <b/>
      <sz val="9"/>
      <color rgb="FF1A1A2E"/>
      <name val="Calibri"/>
    </font>
    <font>
      <b/>
      <sz val="8"/>
      <color rgb="FF922B21"/>
      <name val="Calibri"/>
    </font>
    <font>
      <i/>
      <sz val="9"/>
      <color rgb="FF555555"/>
      <name val="Calibri"/>
    </font>
    <font>
      <b/>
      <sz val="8"/>
      <color rgb="FFA04000"/>
      <name val="Calibri"/>
    </font>
    <font>
      <b/>
      <sz val="8"/>
      <color rgb="FF7D6608"/>
      <name val="Calibri"/>
    </font>
    <font>
      <b/>
      <sz val="9"/>
      <name val="Calibri"/>
    </font>
    <font>
      <sz val="9"/>
      <color rgb="FF1A6B3A"/>
      <name val="Calibri"/>
    </font>
    <font>
      <sz val="10"/>
      <color rgb="FF1A1A2E"/>
      <name val="Calibri"/>
    </font>
    <font>
      <sz val="9"/>
      <name val="Calibri"/>
    </font>
    <font>
      <b/>
      <sz val="9"/>
      <color rgb="FF1A4A80"/>
      <name val="Calibri"/>
    </font>
    <font>
      <b/>
      <sz val="10"/>
      <color rgb="FF922B21"/>
      <name val="Calibri"/>
    </font>
    <font>
      <b/>
      <sz val="9"/>
      <color rgb="FF922B21"/>
      <name val="Calibri"/>
    </font>
    <font>
      <b/>
      <sz val="10"/>
      <color rgb="FF1A6B3A"/>
      <name val="Calibri"/>
    </font>
    <font>
      <b/>
      <sz val="9"/>
      <color rgb="FFA04000"/>
      <name val="Calibri"/>
    </font>
    <font>
      <b/>
      <sz val="9"/>
      <color rgb="FF1A6B3A"/>
      <name val="Calibri"/>
    </font>
    <font>
      <sz val="9"/>
      <color rgb="FF922B21"/>
      <name val="Calibri"/>
    </font>
    <font>
      <sz val="9"/>
      <color rgb="FFA04000"/>
      <name val="Calibri"/>
    </font>
    <font>
      <b/>
      <sz val="10"/>
      <color rgb="FFA04000"/>
      <name val="Calibri"/>
    </font>
    <font>
      <b/>
      <sz val="10"/>
      <color rgb="FF888888"/>
      <name val="Calibri"/>
    </font>
    <font>
      <b/>
      <sz val="11"/>
      <color rgb="FFFFFFFF"/>
      <name val="Calibri"/>
    </font>
    <font>
      <i/>
      <sz val="9"/>
      <color rgb="FFFFFFFF"/>
      <name val="Calibri"/>
    </font>
    <font>
      <b/>
      <sz val="10"/>
      <color rgb="FF6C3483"/>
      <name val="Calibri"/>
    </font>
    <font>
      <b/>
      <sz val="10"/>
      <color rgb="FF1A5276"/>
      <name val="Calibri"/>
    </font>
    <font>
      <b/>
      <sz val="10"/>
      <color rgb="FF0A3D62"/>
      <name val="Calibri"/>
    </font>
    <font>
      <b/>
      <sz val="10"/>
      <color rgb="FF7D6608"/>
      <name val="Calibri"/>
    </font>
    <font>
      <b/>
      <sz val="10"/>
      <color rgb="FF6E2F1A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A4A80"/>
      </patternFill>
    </fill>
    <fill>
      <patternFill patternType="solid">
        <fgColor rgb="FF0A3D62"/>
      </patternFill>
    </fill>
    <fill>
      <patternFill patternType="solid">
        <fgColor rgb="FFEAFAF1"/>
      </patternFill>
    </fill>
    <fill>
      <patternFill patternType="solid">
        <fgColor rgb="FFFEF9E7"/>
      </patternFill>
    </fill>
    <fill>
      <patternFill patternType="solid">
        <fgColor rgb="FFFDFEFE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rgb="FFFEF0E7"/>
      </patternFill>
    </fill>
    <fill>
      <patternFill patternType="solid">
        <fgColor rgb="FFFDECEA"/>
      </patternFill>
    </fill>
    <fill>
      <patternFill patternType="solid">
        <fgColor rgb="FF6C3483"/>
      </patternFill>
    </fill>
    <fill>
      <patternFill patternType="solid">
        <fgColor rgb="FFF8F9FA"/>
      </patternFill>
    </fill>
    <fill>
      <patternFill patternType="solid">
        <fgColor rgb="FF1A5276"/>
      </patternFill>
    </fill>
    <fill>
      <patternFill patternType="solid">
        <fgColor rgb="FF1A6B3A"/>
      </patternFill>
    </fill>
    <fill>
      <patternFill patternType="solid">
        <fgColor rgb="FF7D6608"/>
      </patternFill>
    </fill>
    <fill>
      <patternFill patternType="solid">
        <fgColor rgb="FF6E2F1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19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20" fillId="11" borderId="1" xfId="0" applyFont="1" applyFill="1" applyBorder="1" applyAlignment="1">
      <alignment horizontal="left" vertical="center"/>
    </xf>
    <xf numFmtId="0" fontId="22" fillId="6" borderId="1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left" vertical="center" indent="1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 indent="1"/>
    </xf>
    <xf numFmtId="0" fontId="8" fillId="7" borderId="1" xfId="0" applyFont="1" applyFill="1" applyBorder="1" applyAlignment="1">
      <alignment horizontal="left" vertical="center" wrapText="1" indent="1"/>
    </xf>
    <xf numFmtId="0" fontId="29" fillId="14" borderId="0" xfId="0" applyFont="1" applyFill="1" applyAlignment="1">
      <alignment horizontal="left" vertical="center" indent="2"/>
    </xf>
    <xf numFmtId="0" fontId="8" fillId="13" borderId="0" xfId="0" applyFont="1" applyFill="1" applyAlignment="1">
      <alignment horizontal="left" vertical="center" wrapText="1" indent="1"/>
    </xf>
    <xf numFmtId="0" fontId="28" fillId="12" borderId="0" xfId="0" applyFont="1" applyFill="1" applyAlignment="1">
      <alignment horizontal="left" vertical="center" indent="1"/>
    </xf>
    <xf numFmtId="0" fontId="29" fillId="12" borderId="0" xfId="0" applyFont="1" applyFill="1" applyAlignment="1">
      <alignment horizontal="left" vertical="center" indent="2"/>
    </xf>
    <xf numFmtId="0" fontId="29" fillId="17" borderId="0" xfId="0" applyFont="1" applyFill="1" applyAlignment="1">
      <alignment horizontal="left" vertical="center" indent="2"/>
    </xf>
    <xf numFmtId="0" fontId="29" fillId="16" borderId="0" xfId="0" applyFont="1" applyFill="1" applyAlignment="1">
      <alignment horizontal="left" vertical="center" indent="2"/>
    </xf>
    <xf numFmtId="0" fontId="28" fillId="14" borderId="0" xfId="0" applyFont="1" applyFill="1" applyAlignment="1">
      <alignment horizontal="left" vertical="center" indent="1"/>
    </xf>
    <xf numFmtId="0" fontId="29" fillId="4" borderId="0" xfId="0" applyFont="1" applyFill="1" applyAlignment="1">
      <alignment horizontal="left" vertical="center" indent="2"/>
    </xf>
    <xf numFmtId="0" fontId="29" fillId="15" borderId="0" xfId="0" applyFont="1" applyFill="1" applyAlignment="1">
      <alignment horizontal="left" vertical="center" indent="2"/>
    </xf>
    <xf numFmtId="0" fontId="28" fillId="3" borderId="0" xfId="0" applyFont="1" applyFill="1" applyAlignment="1">
      <alignment horizontal="left" vertical="center" indent="1"/>
    </xf>
    <xf numFmtId="0" fontId="28" fillId="17" borderId="0" xfId="0" applyFont="1" applyFill="1" applyAlignment="1">
      <alignment horizontal="left" vertical="center" indent="1"/>
    </xf>
    <xf numFmtId="0" fontId="29" fillId="3" borderId="0" xfId="0" applyFont="1" applyFill="1" applyAlignment="1">
      <alignment horizontal="left" vertical="center" indent="2"/>
    </xf>
    <xf numFmtId="0" fontId="28" fillId="15" borderId="0" xfId="0" applyFont="1" applyFill="1" applyAlignment="1">
      <alignment horizontal="left" vertical="center" indent="1"/>
    </xf>
    <xf numFmtId="0" fontId="28" fillId="4" borderId="0" xfId="0" applyFont="1" applyFill="1" applyAlignment="1">
      <alignment horizontal="left" vertical="center" indent="1"/>
    </xf>
    <xf numFmtId="0" fontId="28" fillId="16" borderId="0" xfId="0" applyFont="1" applyFill="1" applyAlignment="1">
      <alignment horizontal="left" vertical="center" indent="1"/>
    </xf>
    <xf numFmtId="0" fontId="11" fillId="9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A1:E2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34" customWidth="1"/>
    <col min="3" max="3" width="22" customWidth="1"/>
    <col min="4" max="4" width="18" customWidth="1"/>
    <col min="5" max="5" width="32" customWidth="1"/>
  </cols>
  <sheetData>
    <row r="1" spans="1:5" ht="33.950000000000003" customHeight="1" x14ac:dyDescent="0.25">
      <c r="A1" s="125" t="s">
        <v>0</v>
      </c>
      <c r="B1" s="122"/>
      <c r="C1" s="122"/>
      <c r="D1" s="122"/>
      <c r="E1" s="122"/>
    </row>
    <row r="2" spans="1:5" ht="15.95" customHeight="1" x14ac:dyDescent="0.25">
      <c r="A2" s="123" t="s">
        <v>1</v>
      </c>
      <c r="B2" s="122"/>
      <c r="C2" s="122"/>
      <c r="D2" s="122"/>
      <c r="E2" s="122"/>
    </row>
    <row r="3" spans="1:5" ht="21.95" customHeight="1" x14ac:dyDescent="0.25">
      <c r="A3" s="124" t="s">
        <v>2</v>
      </c>
      <c r="B3" s="122"/>
      <c r="C3" s="122"/>
      <c r="D3" s="122"/>
      <c r="E3" s="122"/>
    </row>
    <row r="4" spans="1:5" ht="21.95" customHeight="1" x14ac:dyDescent="0.25">
      <c r="A4" s="121" t="s">
        <v>3</v>
      </c>
      <c r="B4" s="122"/>
      <c r="C4" s="122"/>
      <c r="D4" s="122"/>
      <c r="E4" s="122"/>
    </row>
    <row r="5" spans="1:5" ht="21.95" customHeight="1" x14ac:dyDescent="0.25">
      <c r="A5" s="121" t="s">
        <v>4</v>
      </c>
      <c r="B5" s="122"/>
      <c r="C5" s="122"/>
      <c r="D5" s="122"/>
      <c r="E5" s="122"/>
    </row>
    <row r="6" spans="1:5" ht="21.95" customHeight="1" x14ac:dyDescent="0.25">
      <c r="A6" s="121" t="s">
        <v>5</v>
      </c>
      <c r="B6" s="122"/>
      <c r="C6" s="122"/>
      <c r="D6" s="122"/>
      <c r="E6" s="122"/>
    </row>
    <row r="7" spans="1:5" ht="21.95" customHeight="1" x14ac:dyDescent="0.25">
      <c r="A7" s="121" t="s">
        <v>6</v>
      </c>
      <c r="B7" s="122"/>
      <c r="C7" s="122"/>
      <c r="D7" s="122"/>
      <c r="E7" s="122"/>
    </row>
    <row r="8" spans="1:5" ht="21.95" customHeight="1" x14ac:dyDescent="0.25">
      <c r="A8" s="121" t="s">
        <v>7</v>
      </c>
      <c r="B8" s="122"/>
      <c r="C8" s="122"/>
      <c r="D8" s="122"/>
      <c r="E8" s="122"/>
    </row>
    <row r="9" spans="1:5" ht="21.95" customHeight="1" x14ac:dyDescent="0.25">
      <c r="A9" s="121" t="s">
        <v>8</v>
      </c>
      <c r="B9" s="122"/>
      <c r="C9" s="122"/>
      <c r="D9" s="122"/>
      <c r="E9" s="122"/>
    </row>
    <row r="11" spans="1:5" ht="21.95" customHeight="1" x14ac:dyDescent="0.25">
      <c r="A11" s="124" t="s">
        <v>9</v>
      </c>
      <c r="B11" s="122"/>
      <c r="C11" s="122"/>
      <c r="D11" s="122"/>
      <c r="E11" s="122"/>
    </row>
    <row r="12" spans="1:5" ht="26.1" customHeight="1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</row>
    <row r="13" spans="1:5" ht="24" customHeight="1" x14ac:dyDescent="0.25">
      <c r="A13" s="2" t="s">
        <v>15</v>
      </c>
      <c r="B13" s="3" t="s">
        <v>16</v>
      </c>
      <c r="C13" s="4" t="s">
        <v>17</v>
      </c>
      <c r="D13" s="5" t="s">
        <v>18</v>
      </c>
      <c r="E13" s="6" t="s">
        <v>19</v>
      </c>
    </row>
    <row r="14" spans="1:5" ht="24" customHeight="1" x14ac:dyDescent="0.25">
      <c r="A14" s="7" t="s">
        <v>20</v>
      </c>
      <c r="B14" s="8" t="s">
        <v>21</v>
      </c>
      <c r="C14" s="9" t="s">
        <v>22</v>
      </c>
      <c r="D14" s="10" t="s">
        <v>23</v>
      </c>
      <c r="E14" s="11" t="s">
        <v>24</v>
      </c>
    </row>
    <row r="15" spans="1:5" ht="24" customHeight="1" x14ac:dyDescent="0.25">
      <c r="A15" s="7" t="s">
        <v>25</v>
      </c>
      <c r="B15" s="8" t="s">
        <v>26</v>
      </c>
      <c r="C15" s="9" t="s">
        <v>27</v>
      </c>
      <c r="D15" s="10" t="s">
        <v>28</v>
      </c>
      <c r="E15" s="11" t="s">
        <v>24</v>
      </c>
    </row>
    <row r="16" spans="1:5" ht="24" customHeight="1" x14ac:dyDescent="0.25">
      <c r="A16" s="12" t="s">
        <v>29</v>
      </c>
      <c r="B16" s="13" t="s">
        <v>30</v>
      </c>
      <c r="C16" s="14" t="s">
        <v>31</v>
      </c>
      <c r="D16" s="15" t="s">
        <v>32</v>
      </c>
      <c r="E16" s="16" t="s">
        <v>33</v>
      </c>
    </row>
    <row r="17" spans="1:5" ht="24" customHeight="1" x14ac:dyDescent="0.25">
      <c r="A17" s="12" t="s">
        <v>34</v>
      </c>
      <c r="B17" s="13" t="s">
        <v>35</v>
      </c>
      <c r="C17" s="14" t="s">
        <v>36</v>
      </c>
      <c r="D17" s="15" t="s">
        <v>37</v>
      </c>
      <c r="E17" s="16" t="s">
        <v>33</v>
      </c>
    </row>
    <row r="18" spans="1:5" ht="24" customHeight="1" x14ac:dyDescent="0.25">
      <c r="A18" s="12" t="s">
        <v>38</v>
      </c>
      <c r="B18" s="13" t="s">
        <v>39</v>
      </c>
      <c r="C18" s="14" t="s">
        <v>40</v>
      </c>
      <c r="D18" s="15" t="s">
        <v>41</v>
      </c>
      <c r="E18" s="16" t="s">
        <v>33</v>
      </c>
    </row>
    <row r="19" spans="1:5" ht="24" customHeight="1" x14ac:dyDescent="0.25">
      <c r="A19" s="12" t="s">
        <v>42</v>
      </c>
      <c r="B19" s="13" t="s">
        <v>43</v>
      </c>
      <c r="C19" s="14" t="s">
        <v>44</v>
      </c>
      <c r="D19" s="15" t="s">
        <v>45</v>
      </c>
      <c r="E19" s="16" t="s">
        <v>33</v>
      </c>
    </row>
    <row r="20" spans="1:5" ht="24" customHeight="1" x14ac:dyDescent="0.25">
      <c r="A20" s="12" t="s">
        <v>46</v>
      </c>
      <c r="B20" s="13" t="s">
        <v>47</v>
      </c>
      <c r="C20" s="14" t="s">
        <v>48</v>
      </c>
      <c r="D20" s="15" t="s">
        <v>49</v>
      </c>
      <c r="E20" s="16" t="s">
        <v>33</v>
      </c>
    </row>
    <row r="21" spans="1:5" ht="24" customHeight="1" x14ac:dyDescent="0.25">
      <c r="A21" s="2" t="s">
        <v>50</v>
      </c>
      <c r="B21" s="3" t="s">
        <v>51</v>
      </c>
      <c r="C21" s="4" t="s">
        <v>52</v>
      </c>
      <c r="D21" s="5" t="s">
        <v>53</v>
      </c>
      <c r="E21" s="6" t="s">
        <v>19</v>
      </c>
    </row>
    <row r="22" spans="1:5" ht="24" customHeight="1" x14ac:dyDescent="0.25">
      <c r="A22" s="2" t="s">
        <v>54</v>
      </c>
      <c r="B22" s="3" t="s">
        <v>55</v>
      </c>
      <c r="C22" s="4" t="s">
        <v>56</v>
      </c>
      <c r="D22" s="5" t="s">
        <v>57</v>
      </c>
      <c r="E22" s="6" t="s">
        <v>19</v>
      </c>
    </row>
    <row r="23" spans="1:5" ht="24" customHeight="1" x14ac:dyDescent="0.25">
      <c r="A23" s="2" t="s">
        <v>58</v>
      </c>
      <c r="B23" s="3" t="s">
        <v>59</v>
      </c>
      <c r="C23" s="4" t="s">
        <v>60</v>
      </c>
      <c r="D23" s="5" t="s">
        <v>61</v>
      </c>
      <c r="E23" s="6" t="s">
        <v>19</v>
      </c>
    </row>
  </sheetData>
  <mergeCells count="10">
    <mergeCell ref="A4:E4"/>
    <mergeCell ref="A2:E2"/>
    <mergeCell ref="A7:E7"/>
    <mergeCell ref="A11:E11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6B3A"/>
  </sheetPr>
  <dimension ref="A1:H2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2" width="22" customWidth="1"/>
    <col min="3" max="4" width="14" customWidth="1"/>
    <col min="5" max="6" width="8" customWidth="1"/>
    <col min="7" max="7" width="14" customWidth="1"/>
    <col min="8" max="8" width="36" customWidth="1"/>
  </cols>
  <sheetData>
    <row r="1" spans="1:8" ht="33.950000000000003" customHeight="1" x14ac:dyDescent="0.25">
      <c r="A1" s="125" t="s">
        <v>62</v>
      </c>
      <c r="B1" s="122"/>
      <c r="C1" s="122"/>
      <c r="D1" s="122"/>
      <c r="E1" s="122"/>
      <c r="F1" s="122"/>
      <c r="G1" s="122"/>
      <c r="H1" s="122"/>
    </row>
    <row r="2" spans="1:8" ht="15.95" customHeight="1" x14ac:dyDescent="0.25">
      <c r="A2" s="123" t="s">
        <v>63</v>
      </c>
      <c r="B2" s="122"/>
      <c r="C2" s="122"/>
      <c r="D2" s="122"/>
      <c r="E2" s="122"/>
      <c r="F2" s="122"/>
      <c r="G2" s="122"/>
      <c r="H2" s="122"/>
    </row>
    <row r="3" spans="1:8" ht="21.95" customHeight="1" x14ac:dyDescent="0.25">
      <c r="A3" s="124" t="s">
        <v>64</v>
      </c>
      <c r="B3" s="122"/>
      <c r="C3" s="122"/>
      <c r="D3" s="122"/>
      <c r="E3" s="122"/>
      <c r="F3" s="122"/>
      <c r="G3" s="122"/>
      <c r="H3" s="122"/>
    </row>
    <row r="4" spans="1:8" ht="26.1" customHeight="1" x14ac:dyDescent="0.25">
      <c r="A4" s="1" t="s">
        <v>65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</row>
    <row r="5" spans="1:8" ht="26.1" customHeight="1" x14ac:dyDescent="0.25">
      <c r="A5" s="17" t="s">
        <v>73</v>
      </c>
      <c r="B5" s="18" t="s">
        <v>74</v>
      </c>
      <c r="C5" s="19" t="s">
        <v>75</v>
      </c>
      <c r="D5" s="19" t="s">
        <v>76</v>
      </c>
      <c r="E5" s="20">
        <v>21</v>
      </c>
      <c r="F5" s="21">
        <v>8</v>
      </c>
      <c r="G5" s="17" t="s">
        <v>77</v>
      </c>
      <c r="H5" s="22" t="s">
        <v>78</v>
      </c>
    </row>
    <row r="6" spans="1:8" ht="26.1" customHeight="1" x14ac:dyDescent="0.25">
      <c r="A6" s="17" t="s">
        <v>79</v>
      </c>
      <c r="B6" s="18" t="s">
        <v>80</v>
      </c>
      <c r="C6" s="19" t="s">
        <v>81</v>
      </c>
      <c r="D6" s="19" t="s">
        <v>82</v>
      </c>
      <c r="E6" s="20">
        <v>17</v>
      </c>
      <c r="F6" s="21">
        <v>5</v>
      </c>
      <c r="G6" s="17" t="s">
        <v>83</v>
      </c>
      <c r="H6" s="22" t="s">
        <v>84</v>
      </c>
    </row>
    <row r="7" spans="1:8" ht="26.1" customHeight="1" x14ac:dyDescent="0.25">
      <c r="A7" s="23" t="s">
        <v>85</v>
      </c>
      <c r="B7" s="24" t="s">
        <v>86</v>
      </c>
      <c r="C7" s="25" t="s">
        <v>82</v>
      </c>
      <c r="D7" s="25" t="s">
        <v>87</v>
      </c>
      <c r="E7" s="26">
        <v>17</v>
      </c>
      <c r="F7" s="27">
        <v>0</v>
      </c>
      <c r="G7" s="23" t="s">
        <v>88</v>
      </c>
      <c r="H7" s="28" t="s">
        <v>89</v>
      </c>
    </row>
    <row r="8" spans="1:8" ht="26.1" customHeight="1" x14ac:dyDescent="0.25">
      <c r="A8" s="23" t="s">
        <v>90</v>
      </c>
      <c r="B8" s="24" t="s">
        <v>91</v>
      </c>
      <c r="C8" s="25" t="s">
        <v>87</v>
      </c>
      <c r="D8" s="25" t="s">
        <v>92</v>
      </c>
      <c r="E8" s="26">
        <v>12</v>
      </c>
      <c r="F8" s="27">
        <v>0</v>
      </c>
      <c r="G8" s="23" t="s">
        <v>88</v>
      </c>
      <c r="H8" s="28" t="s">
        <v>89</v>
      </c>
    </row>
    <row r="9" spans="1:8" ht="26.1" customHeight="1" x14ac:dyDescent="0.25">
      <c r="A9" s="23" t="s">
        <v>93</v>
      </c>
      <c r="B9" s="24" t="s">
        <v>94</v>
      </c>
      <c r="C9" s="25" t="s">
        <v>95</v>
      </c>
      <c r="D9" s="25" t="s">
        <v>96</v>
      </c>
      <c r="E9" s="26">
        <v>13</v>
      </c>
      <c r="F9" s="27">
        <v>0</v>
      </c>
      <c r="G9" s="23" t="s">
        <v>88</v>
      </c>
      <c r="H9" s="28" t="s">
        <v>89</v>
      </c>
    </row>
    <row r="10" spans="1:8" ht="26.1" customHeight="1" x14ac:dyDescent="0.25">
      <c r="A10" s="23" t="s">
        <v>97</v>
      </c>
      <c r="B10" s="24" t="s">
        <v>98</v>
      </c>
      <c r="C10" s="25" t="s">
        <v>96</v>
      </c>
      <c r="D10" s="25" t="s">
        <v>99</v>
      </c>
      <c r="E10" s="26">
        <v>13</v>
      </c>
      <c r="F10" s="27">
        <v>0</v>
      </c>
      <c r="G10" s="23" t="s">
        <v>88</v>
      </c>
      <c r="H10" s="28" t="s">
        <v>89</v>
      </c>
    </row>
    <row r="11" spans="1:8" ht="26.1" customHeight="1" x14ac:dyDescent="0.25">
      <c r="A11" s="23" t="s">
        <v>100</v>
      </c>
      <c r="B11" s="24" t="s">
        <v>101</v>
      </c>
      <c r="C11" s="25" t="s">
        <v>99</v>
      </c>
      <c r="D11" s="25" t="s">
        <v>102</v>
      </c>
      <c r="E11" s="26">
        <v>11</v>
      </c>
      <c r="F11" s="27">
        <v>0</v>
      </c>
      <c r="G11" s="23" t="s">
        <v>88</v>
      </c>
      <c r="H11" s="28" t="s">
        <v>89</v>
      </c>
    </row>
    <row r="13" spans="1:8" ht="21.95" customHeight="1" x14ac:dyDescent="0.25">
      <c r="A13" s="124" t="s">
        <v>103</v>
      </c>
      <c r="B13" s="122"/>
      <c r="C13" s="122"/>
      <c r="D13" s="122"/>
      <c r="E13" s="122"/>
      <c r="F13" s="122"/>
      <c r="G13" s="122"/>
      <c r="H13" s="122"/>
    </row>
    <row r="14" spans="1:8" ht="26.1" customHeight="1" x14ac:dyDescent="0.25">
      <c r="A14" s="1" t="s">
        <v>104</v>
      </c>
      <c r="B14" s="1" t="s">
        <v>105</v>
      </c>
      <c r="C14" s="1" t="s">
        <v>106</v>
      </c>
      <c r="D14" s="1" t="s">
        <v>107</v>
      </c>
      <c r="E14" s="1" t="s">
        <v>108</v>
      </c>
      <c r="F14" s="1"/>
      <c r="G14" s="1"/>
      <c r="H14" s="1"/>
    </row>
    <row r="15" spans="1:8" ht="32.1" customHeight="1" x14ac:dyDescent="0.25">
      <c r="A15" s="17" t="s">
        <v>109</v>
      </c>
      <c r="B15" s="126" t="s">
        <v>110</v>
      </c>
      <c r="C15" s="122"/>
      <c r="D15" s="122"/>
      <c r="E15" s="122"/>
      <c r="F15" s="122"/>
      <c r="G15" s="122"/>
      <c r="H15" s="29" t="s">
        <v>111</v>
      </c>
    </row>
    <row r="16" spans="1:8" ht="32.1" customHeight="1" x14ac:dyDescent="0.25">
      <c r="A16" s="17" t="s">
        <v>112</v>
      </c>
      <c r="B16" s="126" t="s">
        <v>113</v>
      </c>
      <c r="C16" s="122"/>
      <c r="D16" s="122"/>
      <c r="E16" s="122"/>
      <c r="F16" s="122"/>
      <c r="G16" s="122"/>
      <c r="H16" s="29" t="s">
        <v>114</v>
      </c>
    </row>
    <row r="17" spans="1:8" ht="32.1" customHeight="1" x14ac:dyDescent="0.25">
      <c r="A17" s="23" t="s">
        <v>115</v>
      </c>
      <c r="B17" s="127" t="s">
        <v>116</v>
      </c>
      <c r="C17" s="122"/>
      <c r="D17" s="122"/>
      <c r="E17" s="122"/>
      <c r="F17" s="122"/>
      <c r="G17" s="122"/>
      <c r="H17" s="30" t="s">
        <v>117</v>
      </c>
    </row>
    <row r="18" spans="1:8" ht="32.1" customHeight="1" x14ac:dyDescent="0.25">
      <c r="A18" s="23" t="s">
        <v>118</v>
      </c>
      <c r="B18" s="127" t="s">
        <v>119</v>
      </c>
      <c r="C18" s="122"/>
      <c r="D18" s="122"/>
      <c r="E18" s="122"/>
      <c r="F18" s="122"/>
      <c r="G18" s="122"/>
      <c r="H18" s="30" t="s">
        <v>120</v>
      </c>
    </row>
    <row r="19" spans="1:8" ht="32.1" customHeight="1" x14ac:dyDescent="0.25">
      <c r="A19" s="23" t="s">
        <v>121</v>
      </c>
      <c r="B19" s="127" t="s">
        <v>122</v>
      </c>
      <c r="C19" s="122"/>
      <c r="D19" s="122"/>
      <c r="E19" s="122"/>
      <c r="F19" s="122"/>
      <c r="G19" s="122"/>
      <c r="H19" s="30" t="s">
        <v>123</v>
      </c>
    </row>
    <row r="20" spans="1:8" ht="32.1" customHeight="1" x14ac:dyDescent="0.25">
      <c r="A20" s="23" t="s">
        <v>124</v>
      </c>
      <c r="B20" s="127" t="s">
        <v>125</v>
      </c>
      <c r="C20" s="122"/>
      <c r="D20" s="122"/>
      <c r="E20" s="122"/>
      <c r="F20" s="122"/>
      <c r="G20" s="122"/>
      <c r="H20" s="30" t="s">
        <v>126</v>
      </c>
    </row>
    <row r="21" spans="1:8" ht="32.1" customHeight="1" x14ac:dyDescent="0.25">
      <c r="A21" s="23" t="s">
        <v>127</v>
      </c>
      <c r="B21" s="127" t="s">
        <v>128</v>
      </c>
      <c r="C21" s="122"/>
      <c r="D21" s="122"/>
      <c r="E21" s="122"/>
      <c r="F21" s="122"/>
      <c r="G21" s="122"/>
      <c r="H21" s="30" t="s">
        <v>129</v>
      </c>
    </row>
  </sheetData>
  <mergeCells count="11">
    <mergeCell ref="A1:H1"/>
    <mergeCell ref="B21:G21"/>
    <mergeCell ref="B15:G15"/>
    <mergeCell ref="B16:G16"/>
    <mergeCell ref="B19:G19"/>
    <mergeCell ref="A3:H3"/>
    <mergeCell ref="B20:G20"/>
    <mergeCell ref="A2:H2"/>
    <mergeCell ref="B17:G17"/>
    <mergeCell ref="A13:H13"/>
    <mergeCell ref="B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C3483"/>
  </sheetPr>
  <dimension ref="A1:G76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10" customWidth="1"/>
    <col min="3" max="3" width="26" customWidth="1"/>
    <col min="4" max="4" width="12" customWidth="1"/>
    <col min="5" max="5" width="42" customWidth="1"/>
    <col min="6" max="6" width="28" customWidth="1"/>
    <col min="7" max="7" width="14" customWidth="1"/>
  </cols>
  <sheetData>
    <row r="1" spans="1:7" ht="33.950000000000003" customHeight="1" x14ac:dyDescent="0.25">
      <c r="A1" s="125" t="s">
        <v>130</v>
      </c>
      <c r="B1" s="122"/>
      <c r="C1" s="122"/>
      <c r="D1" s="122"/>
      <c r="E1" s="122"/>
      <c r="F1" s="122"/>
      <c r="G1" s="122"/>
    </row>
    <row r="2" spans="1:7" ht="15.95" customHeight="1" x14ac:dyDescent="0.25">
      <c r="A2" s="123" t="s">
        <v>131</v>
      </c>
      <c r="B2" s="122"/>
      <c r="C2" s="122"/>
      <c r="D2" s="122"/>
      <c r="E2" s="122"/>
      <c r="F2" s="122"/>
      <c r="G2" s="122"/>
    </row>
    <row r="4" spans="1:7" ht="26.1" customHeight="1" x14ac:dyDescent="0.25">
      <c r="A4" s="130" t="s">
        <v>132</v>
      </c>
      <c r="B4" s="122"/>
      <c r="C4" s="122"/>
      <c r="D4" s="122"/>
      <c r="E4" s="122"/>
      <c r="F4" s="122"/>
      <c r="G4" s="122"/>
    </row>
    <row r="5" spans="1:7" ht="15.95" customHeight="1" x14ac:dyDescent="0.25">
      <c r="A5" s="131" t="s">
        <v>133</v>
      </c>
      <c r="B5" s="122"/>
      <c r="C5" s="122"/>
      <c r="D5" s="122"/>
      <c r="E5" s="122"/>
      <c r="F5" s="122"/>
      <c r="G5" s="122"/>
    </row>
    <row r="6" spans="1:7" ht="27.95" customHeight="1" x14ac:dyDescent="0.25">
      <c r="A6" s="129" t="s">
        <v>134</v>
      </c>
      <c r="B6" s="122"/>
      <c r="C6" s="122"/>
      <c r="D6" s="122"/>
      <c r="E6" s="122"/>
      <c r="F6" s="122"/>
      <c r="G6" s="122"/>
    </row>
    <row r="7" spans="1:7" ht="26.1" customHeight="1" x14ac:dyDescent="0.25">
      <c r="A7" s="31" t="s">
        <v>10</v>
      </c>
      <c r="B7" s="31" t="s">
        <v>135</v>
      </c>
      <c r="C7" s="31" t="s">
        <v>136</v>
      </c>
      <c r="D7" s="31" t="s">
        <v>137</v>
      </c>
      <c r="E7" s="31" t="s">
        <v>138</v>
      </c>
      <c r="F7" s="31" t="s">
        <v>139</v>
      </c>
      <c r="G7" s="31" t="s">
        <v>140</v>
      </c>
    </row>
    <row r="8" spans="1:7" ht="44.1" customHeight="1" x14ac:dyDescent="0.25">
      <c r="A8" s="32">
        <v>1</v>
      </c>
      <c r="B8" s="33" t="s">
        <v>141</v>
      </c>
      <c r="C8" s="34" t="s">
        <v>142</v>
      </c>
      <c r="D8" s="35" t="s">
        <v>143</v>
      </c>
      <c r="E8" s="14" t="s">
        <v>144</v>
      </c>
      <c r="F8" s="36" t="s">
        <v>145</v>
      </c>
      <c r="G8" s="30" t="s">
        <v>146</v>
      </c>
    </row>
    <row r="9" spans="1:7" ht="44.1" customHeight="1" x14ac:dyDescent="0.25">
      <c r="A9" s="32">
        <v>2</v>
      </c>
      <c r="B9" s="33" t="s">
        <v>147</v>
      </c>
      <c r="C9" s="34" t="s">
        <v>148</v>
      </c>
      <c r="D9" s="35" t="s">
        <v>143</v>
      </c>
      <c r="E9" s="14" t="s">
        <v>149</v>
      </c>
      <c r="F9" s="36" t="s">
        <v>145</v>
      </c>
      <c r="G9" s="30" t="s">
        <v>150</v>
      </c>
    </row>
    <row r="10" spans="1:7" ht="44.1" customHeight="1" x14ac:dyDescent="0.25">
      <c r="A10" s="32">
        <v>3</v>
      </c>
      <c r="B10" s="33" t="s">
        <v>151</v>
      </c>
      <c r="C10" s="34" t="s">
        <v>152</v>
      </c>
      <c r="D10" s="37" t="s">
        <v>153</v>
      </c>
      <c r="E10" s="14" t="s">
        <v>154</v>
      </c>
      <c r="F10" s="36" t="s">
        <v>155</v>
      </c>
      <c r="G10" s="30" t="s">
        <v>156</v>
      </c>
    </row>
    <row r="11" spans="1:7" ht="44.1" customHeight="1" x14ac:dyDescent="0.25">
      <c r="A11" s="32">
        <v>4</v>
      </c>
      <c r="B11" s="33" t="s">
        <v>157</v>
      </c>
      <c r="C11" s="34" t="s">
        <v>158</v>
      </c>
      <c r="D11" s="37" t="s">
        <v>153</v>
      </c>
      <c r="E11" s="14" t="s">
        <v>159</v>
      </c>
      <c r="F11" s="36" t="s">
        <v>160</v>
      </c>
      <c r="G11" s="30" t="s">
        <v>156</v>
      </c>
    </row>
    <row r="13" spans="1:7" ht="26.1" customHeight="1" x14ac:dyDescent="0.25">
      <c r="A13" s="134" t="s">
        <v>161</v>
      </c>
      <c r="B13" s="122"/>
      <c r="C13" s="122"/>
      <c r="D13" s="122"/>
      <c r="E13" s="122"/>
      <c r="F13" s="122"/>
      <c r="G13" s="122"/>
    </row>
    <row r="14" spans="1:7" ht="15.95" customHeight="1" x14ac:dyDescent="0.25">
      <c r="A14" s="128" t="s">
        <v>162</v>
      </c>
      <c r="B14" s="122"/>
      <c r="C14" s="122"/>
      <c r="D14" s="122"/>
      <c r="E14" s="122"/>
      <c r="F14" s="122"/>
      <c r="G14" s="122"/>
    </row>
    <row r="15" spans="1:7" ht="27.95" customHeight="1" x14ac:dyDescent="0.25">
      <c r="A15" s="129" t="s">
        <v>163</v>
      </c>
      <c r="B15" s="122"/>
      <c r="C15" s="122"/>
      <c r="D15" s="122"/>
      <c r="E15" s="122"/>
      <c r="F15" s="122"/>
      <c r="G15" s="122"/>
    </row>
    <row r="16" spans="1:7" ht="26.1" customHeight="1" x14ac:dyDescent="0.25">
      <c r="A16" s="38" t="s">
        <v>10</v>
      </c>
      <c r="B16" s="38" t="s">
        <v>135</v>
      </c>
      <c r="C16" s="38" t="s">
        <v>136</v>
      </c>
      <c r="D16" s="38" t="s">
        <v>137</v>
      </c>
      <c r="E16" s="38" t="s">
        <v>138</v>
      </c>
      <c r="F16" s="38" t="s">
        <v>139</v>
      </c>
      <c r="G16" s="38" t="s">
        <v>140</v>
      </c>
    </row>
    <row r="17" spans="1:7" ht="44.1" customHeight="1" x14ac:dyDescent="0.25">
      <c r="A17" s="39">
        <v>1</v>
      </c>
      <c r="B17" s="33" t="s">
        <v>164</v>
      </c>
      <c r="C17" s="34" t="s">
        <v>165</v>
      </c>
      <c r="D17" s="35" t="s">
        <v>143</v>
      </c>
      <c r="E17" s="14" t="s">
        <v>166</v>
      </c>
      <c r="F17" s="36" t="s">
        <v>167</v>
      </c>
      <c r="G17" s="30" t="s">
        <v>150</v>
      </c>
    </row>
    <row r="18" spans="1:7" ht="44.1" customHeight="1" x14ac:dyDescent="0.25">
      <c r="A18" s="39">
        <v>2</v>
      </c>
      <c r="B18" s="33" t="s">
        <v>168</v>
      </c>
      <c r="C18" s="34" t="s">
        <v>169</v>
      </c>
      <c r="D18" s="35" t="s">
        <v>170</v>
      </c>
      <c r="E18" s="14" t="s">
        <v>171</v>
      </c>
      <c r="F18" s="36" t="s">
        <v>172</v>
      </c>
      <c r="G18" s="30" t="s">
        <v>173</v>
      </c>
    </row>
    <row r="19" spans="1:7" ht="44.1" customHeight="1" x14ac:dyDescent="0.25">
      <c r="A19" s="39">
        <v>3</v>
      </c>
      <c r="B19" s="33" t="s">
        <v>174</v>
      </c>
      <c r="C19" s="34" t="s">
        <v>175</v>
      </c>
      <c r="D19" s="35" t="s">
        <v>170</v>
      </c>
      <c r="E19" s="14" t="s">
        <v>176</v>
      </c>
      <c r="F19" s="36" t="s">
        <v>172</v>
      </c>
      <c r="G19" s="30" t="s">
        <v>173</v>
      </c>
    </row>
    <row r="20" spans="1:7" ht="44.1" customHeight="1" x14ac:dyDescent="0.25">
      <c r="A20" s="39">
        <v>4</v>
      </c>
      <c r="B20" s="33" t="s">
        <v>177</v>
      </c>
      <c r="C20" s="34" t="s">
        <v>178</v>
      </c>
      <c r="D20" s="37" t="s">
        <v>153</v>
      </c>
      <c r="E20" s="14" t="s">
        <v>179</v>
      </c>
      <c r="F20" s="36" t="s">
        <v>180</v>
      </c>
      <c r="G20" s="30" t="s">
        <v>150</v>
      </c>
    </row>
    <row r="21" spans="1:7" ht="44.1" customHeight="1" x14ac:dyDescent="0.25">
      <c r="A21" s="39">
        <v>5</v>
      </c>
      <c r="B21" s="33" t="s">
        <v>181</v>
      </c>
      <c r="C21" s="34" t="s">
        <v>182</v>
      </c>
      <c r="D21" s="37" t="s">
        <v>183</v>
      </c>
      <c r="E21" s="14" t="s">
        <v>184</v>
      </c>
      <c r="F21" s="36" t="s">
        <v>185</v>
      </c>
      <c r="G21" s="30" t="s">
        <v>150</v>
      </c>
    </row>
    <row r="23" spans="1:7" ht="26.1" customHeight="1" x14ac:dyDescent="0.25">
      <c r="A23" s="140" t="s">
        <v>186</v>
      </c>
      <c r="B23" s="122"/>
      <c r="C23" s="122"/>
      <c r="D23" s="122"/>
      <c r="E23" s="122"/>
      <c r="F23" s="122"/>
      <c r="G23" s="122"/>
    </row>
    <row r="24" spans="1:7" ht="15.95" customHeight="1" x14ac:dyDescent="0.25">
      <c r="A24" s="136" t="s">
        <v>187</v>
      </c>
      <c r="B24" s="122"/>
      <c r="C24" s="122"/>
      <c r="D24" s="122"/>
      <c r="E24" s="122"/>
      <c r="F24" s="122"/>
      <c r="G24" s="122"/>
    </row>
    <row r="25" spans="1:7" ht="27.95" customHeight="1" x14ac:dyDescent="0.25">
      <c r="A25" s="129" t="s">
        <v>188</v>
      </c>
      <c r="B25" s="122"/>
      <c r="C25" s="122"/>
      <c r="D25" s="122"/>
      <c r="E25" s="122"/>
      <c r="F25" s="122"/>
      <c r="G25" s="122"/>
    </row>
    <row r="26" spans="1:7" ht="26.1" customHeight="1" x14ac:dyDescent="0.25">
      <c r="A26" s="40" t="s">
        <v>10</v>
      </c>
      <c r="B26" s="40" t="s">
        <v>135</v>
      </c>
      <c r="C26" s="40" t="s">
        <v>136</v>
      </c>
      <c r="D26" s="40" t="s">
        <v>137</v>
      </c>
      <c r="E26" s="40" t="s">
        <v>138</v>
      </c>
      <c r="F26" s="40" t="s">
        <v>139</v>
      </c>
      <c r="G26" s="40" t="s">
        <v>140</v>
      </c>
    </row>
    <row r="27" spans="1:7" ht="44.1" customHeight="1" x14ac:dyDescent="0.25">
      <c r="A27" s="27">
        <v>1</v>
      </c>
      <c r="B27" s="33" t="s">
        <v>189</v>
      </c>
      <c r="C27" s="34" t="s">
        <v>190</v>
      </c>
      <c r="D27" s="35" t="s">
        <v>191</v>
      </c>
      <c r="E27" s="14" t="s">
        <v>192</v>
      </c>
      <c r="F27" s="36" t="s">
        <v>193</v>
      </c>
      <c r="G27" s="30" t="s">
        <v>194</v>
      </c>
    </row>
    <row r="28" spans="1:7" ht="44.1" customHeight="1" x14ac:dyDescent="0.25">
      <c r="A28" s="27">
        <v>2</v>
      </c>
      <c r="B28" s="33" t="s">
        <v>195</v>
      </c>
      <c r="C28" s="34" t="s">
        <v>196</v>
      </c>
      <c r="D28" s="37" t="s">
        <v>153</v>
      </c>
      <c r="E28" s="14" t="s">
        <v>197</v>
      </c>
      <c r="F28" s="36" t="s">
        <v>198</v>
      </c>
      <c r="G28" s="30" t="s">
        <v>150</v>
      </c>
    </row>
    <row r="29" spans="1:7" ht="44.1" customHeight="1" x14ac:dyDescent="0.25">
      <c r="A29" s="27">
        <v>3</v>
      </c>
      <c r="B29" s="33" t="s">
        <v>199</v>
      </c>
      <c r="C29" s="34" t="s">
        <v>200</v>
      </c>
      <c r="D29" s="37" t="s">
        <v>153</v>
      </c>
      <c r="E29" s="14" t="s">
        <v>201</v>
      </c>
      <c r="F29" s="36" t="s">
        <v>202</v>
      </c>
      <c r="G29" s="30" t="s">
        <v>150</v>
      </c>
    </row>
    <row r="30" spans="1:7" ht="44.1" customHeight="1" x14ac:dyDescent="0.25">
      <c r="A30" s="27">
        <v>4</v>
      </c>
      <c r="B30" s="33" t="s">
        <v>203</v>
      </c>
      <c r="C30" s="34" t="s">
        <v>204</v>
      </c>
      <c r="D30" s="37" t="s">
        <v>183</v>
      </c>
      <c r="E30" s="14" t="s">
        <v>205</v>
      </c>
      <c r="F30" s="36" t="s">
        <v>206</v>
      </c>
      <c r="G30" s="30" t="s">
        <v>150</v>
      </c>
    </row>
    <row r="31" spans="1:7" ht="44.1" customHeight="1" x14ac:dyDescent="0.25">
      <c r="A31" s="27">
        <v>5</v>
      </c>
      <c r="B31" s="33" t="s">
        <v>207</v>
      </c>
      <c r="C31" s="34" t="s">
        <v>208</v>
      </c>
      <c r="D31" s="37" t="s">
        <v>183</v>
      </c>
      <c r="E31" s="14" t="s">
        <v>209</v>
      </c>
      <c r="F31" s="36" t="s">
        <v>210</v>
      </c>
      <c r="G31" s="30" t="s">
        <v>150</v>
      </c>
    </row>
    <row r="33" spans="1:7" ht="26.1" customHeight="1" x14ac:dyDescent="0.25">
      <c r="A33" s="141" t="s">
        <v>211</v>
      </c>
      <c r="B33" s="122"/>
      <c r="C33" s="122"/>
      <c r="D33" s="122"/>
      <c r="E33" s="122"/>
      <c r="F33" s="122"/>
      <c r="G33" s="122"/>
    </row>
    <row r="34" spans="1:7" ht="15.95" customHeight="1" x14ac:dyDescent="0.25">
      <c r="A34" s="135" t="s">
        <v>212</v>
      </c>
      <c r="B34" s="122"/>
      <c r="C34" s="122"/>
      <c r="D34" s="122"/>
      <c r="E34" s="122"/>
      <c r="F34" s="122"/>
      <c r="G34" s="122"/>
    </row>
    <row r="35" spans="1:7" ht="27.95" customHeight="1" x14ac:dyDescent="0.25">
      <c r="A35" s="129" t="s">
        <v>213</v>
      </c>
      <c r="B35" s="122"/>
      <c r="C35" s="122"/>
      <c r="D35" s="122"/>
      <c r="E35" s="122"/>
      <c r="F35" s="122"/>
      <c r="G35" s="122"/>
    </row>
    <row r="36" spans="1:7" ht="26.1" customHeight="1" x14ac:dyDescent="0.25">
      <c r="A36" s="41" t="s">
        <v>10</v>
      </c>
      <c r="B36" s="41" t="s">
        <v>135</v>
      </c>
      <c r="C36" s="41" t="s">
        <v>136</v>
      </c>
      <c r="D36" s="41" t="s">
        <v>137</v>
      </c>
      <c r="E36" s="41" t="s">
        <v>138</v>
      </c>
      <c r="F36" s="41" t="s">
        <v>139</v>
      </c>
      <c r="G36" s="41" t="s">
        <v>140</v>
      </c>
    </row>
    <row r="37" spans="1:7" ht="44.1" customHeight="1" x14ac:dyDescent="0.25">
      <c r="A37" s="42">
        <v>1</v>
      </c>
      <c r="B37" s="33" t="s">
        <v>214</v>
      </c>
      <c r="C37" s="34" t="s">
        <v>215</v>
      </c>
      <c r="D37" s="35" t="s">
        <v>143</v>
      </c>
      <c r="E37" s="14" t="s">
        <v>216</v>
      </c>
      <c r="F37" s="36" t="s">
        <v>217</v>
      </c>
      <c r="G37" s="30" t="s">
        <v>218</v>
      </c>
    </row>
    <row r="38" spans="1:7" ht="44.1" customHeight="1" x14ac:dyDescent="0.25">
      <c r="A38" s="42">
        <v>2</v>
      </c>
      <c r="B38" s="33" t="s">
        <v>219</v>
      </c>
      <c r="C38" s="34" t="s">
        <v>220</v>
      </c>
      <c r="D38" s="35" t="s">
        <v>143</v>
      </c>
      <c r="E38" s="14" t="s">
        <v>221</v>
      </c>
      <c r="F38" s="36" t="s">
        <v>222</v>
      </c>
      <c r="G38" s="30" t="s">
        <v>150</v>
      </c>
    </row>
    <row r="39" spans="1:7" ht="44.1" customHeight="1" x14ac:dyDescent="0.25">
      <c r="A39" s="42">
        <v>3</v>
      </c>
      <c r="B39" s="33" t="s">
        <v>223</v>
      </c>
      <c r="C39" s="34" t="s">
        <v>224</v>
      </c>
      <c r="D39" s="37" t="s">
        <v>225</v>
      </c>
      <c r="E39" s="14" t="s">
        <v>226</v>
      </c>
      <c r="F39" s="36" t="s">
        <v>227</v>
      </c>
      <c r="G39" s="30" t="s">
        <v>150</v>
      </c>
    </row>
    <row r="40" spans="1:7" ht="44.1" customHeight="1" x14ac:dyDescent="0.25">
      <c r="A40" s="42">
        <v>4</v>
      </c>
      <c r="B40" s="33" t="s">
        <v>228</v>
      </c>
      <c r="C40" s="34" t="s">
        <v>229</v>
      </c>
      <c r="D40" s="37" t="s">
        <v>153</v>
      </c>
      <c r="E40" s="14" t="s">
        <v>230</v>
      </c>
      <c r="F40" s="36" t="s">
        <v>231</v>
      </c>
      <c r="G40" s="30" t="s">
        <v>150</v>
      </c>
    </row>
    <row r="42" spans="1:7" ht="26.1" customHeight="1" x14ac:dyDescent="0.25">
      <c r="A42" s="142" t="s">
        <v>232</v>
      </c>
      <c r="B42" s="122"/>
      <c r="C42" s="122"/>
      <c r="D42" s="122"/>
      <c r="E42" s="122"/>
      <c r="F42" s="122"/>
      <c r="G42" s="122"/>
    </row>
    <row r="43" spans="1:7" ht="15.95" customHeight="1" x14ac:dyDescent="0.25">
      <c r="A43" s="133" t="s">
        <v>233</v>
      </c>
      <c r="B43" s="122"/>
      <c r="C43" s="122"/>
      <c r="D43" s="122"/>
      <c r="E43" s="122"/>
      <c r="F43" s="122"/>
      <c r="G43" s="122"/>
    </row>
    <row r="44" spans="1:7" ht="27.95" customHeight="1" x14ac:dyDescent="0.25">
      <c r="A44" s="129" t="s">
        <v>234</v>
      </c>
      <c r="B44" s="122"/>
      <c r="C44" s="122"/>
      <c r="D44" s="122"/>
      <c r="E44" s="122"/>
      <c r="F44" s="122"/>
      <c r="G44" s="122"/>
    </row>
    <row r="45" spans="1:7" ht="26.1" customHeight="1" x14ac:dyDescent="0.25">
      <c r="A45" s="43" t="s">
        <v>10</v>
      </c>
      <c r="B45" s="43" t="s">
        <v>135</v>
      </c>
      <c r="C45" s="43" t="s">
        <v>136</v>
      </c>
      <c r="D45" s="43" t="s">
        <v>137</v>
      </c>
      <c r="E45" s="43" t="s">
        <v>138</v>
      </c>
      <c r="F45" s="43" t="s">
        <v>139</v>
      </c>
      <c r="G45" s="43" t="s">
        <v>140</v>
      </c>
    </row>
    <row r="46" spans="1:7" ht="44.1" customHeight="1" x14ac:dyDescent="0.25">
      <c r="A46" s="44">
        <v>1</v>
      </c>
      <c r="B46" s="33" t="s">
        <v>235</v>
      </c>
      <c r="C46" s="34" t="s">
        <v>236</v>
      </c>
      <c r="D46" s="37" t="s">
        <v>237</v>
      </c>
      <c r="E46" s="14" t="s">
        <v>238</v>
      </c>
      <c r="F46" s="36" t="s">
        <v>239</v>
      </c>
      <c r="G46" s="30" t="s">
        <v>150</v>
      </c>
    </row>
    <row r="47" spans="1:7" ht="44.1" customHeight="1" x14ac:dyDescent="0.25">
      <c r="A47" s="44">
        <v>2</v>
      </c>
      <c r="B47" s="33" t="s">
        <v>240</v>
      </c>
      <c r="C47" s="34" t="s">
        <v>241</v>
      </c>
      <c r="D47" s="37" t="s">
        <v>153</v>
      </c>
      <c r="E47" s="14" t="s">
        <v>242</v>
      </c>
      <c r="F47" s="36" t="s">
        <v>243</v>
      </c>
      <c r="G47" s="30" t="s">
        <v>150</v>
      </c>
    </row>
    <row r="48" spans="1:7" ht="44.1" customHeight="1" x14ac:dyDescent="0.25">
      <c r="A48" s="44">
        <v>3</v>
      </c>
      <c r="B48" s="33" t="s">
        <v>244</v>
      </c>
      <c r="C48" s="34" t="s">
        <v>245</v>
      </c>
      <c r="D48" s="37" t="s">
        <v>225</v>
      </c>
      <c r="E48" s="14" t="s">
        <v>246</v>
      </c>
      <c r="F48" s="36" t="s">
        <v>247</v>
      </c>
      <c r="G48" s="30" t="s">
        <v>150</v>
      </c>
    </row>
    <row r="49" spans="1:7" ht="44.1" customHeight="1" x14ac:dyDescent="0.25">
      <c r="A49" s="44">
        <v>4</v>
      </c>
      <c r="B49" s="33" t="s">
        <v>248</v>
      </c>
      <c r="C49" s="34" t="s">
        <v>249</v>
      </c>
      <c r="D49" s="37" t="s">
        <v>153</v>
      </c>
      <c r="E49" s="14" t="s">
        <v>250</v>
      </c>
      <c r="F49" s="36" t="s">
        <v>251</v>
      </c>
      <c r="G49" s="30" t="s">
        <v>150</v>
      </c>
    </row>
    <row r="51" spans="1:7" ht="26.1" customHeight="1" x14ac:dyDescent="0.25">
      <c r="A51" s="138" t="s">
        <v>252</v>
      </c>
      <c r="B51" s="122"/>
      <c r="C51" s="122"/>
      <c r="D51" s="122"/>
      <c r="E51" s="122"/>
      <c r="F51" s="122"/>
      <c r="G51" s="122"/>
    </row>
    <row r="52" spans="1:7" ht="15.95" customHeight="1" x14ac:dyDescent="0.25">
      <c r="A52" s="132" t="s">
        <v>253</v>
      </c>
      <c r="B52" s="122"/>
      <c r="C52" s="122"/>
      <c r="D52" s="122"/>
      <c r="E52" s="122"/>
      <c r="F52" s="122"/>
      <c r="G52" s="122"/>
    </row>
    <row r="53" spans="1:7" ht="27.95" customHeight="1" x14ac:dyDescent="0.25">
      <c r="A53" s="129" t="s">
        <v>254</v>
      </c>
      <c r="B53" s="122"/>
      <c r="C53" s="122"/>
      <c r="D53" s="122"/>
      <c r="E53" s="122"/>
      <c r="F53" s="122"/>
      <c r="G53" s="122"/>
    </row>
    <row r="54" spans="1:7" ht="26.1" customHeight="1" x14ac:dyDescent="0.25">
      <c r="A54" s="45" t="s">
        <v>10</v>
      </c>
      <c r="B54" s="45" t="s">
        <v>135</v>
      </c>
      <c r="C54" s="45" t="s">
        <v>136</v>
      </c>
      <c r="D54" s="45" t="s">
        <v>137</v>
      </c>
      <c r="E54" s="45" t="s">
        <v>138</v>
      </c>
      <c r="F54" s="45" t="s">
        <v>139</v>
      </c>
      <c r="G54" s="45" t="s">
        <v>140</v>
      </c>
    </row>
    <row r="55" spans="1:7" ht="44.1" customHeight="1" x14ac:dyDescent="0.25">
      <c r="A55" s="46">
        <v>1</v>
      </c>
      <c r="B55" s="33" t="s">
        <v>255</v>
      </c>
      <c r="C55" s="34" t="s">
        <v>256</v>
      </c>
      <c r="D55" s="37" t="s">
        <v>237</v>
      </c>
      <c r="E55" s="14" t="s">
        <v>257</v>
      </c>
      <c r="F55" s="36" t="s">
        <v>258</v>
      </c>
      <c r="G55" s="30" t="s">
        <v>150</v>
      </c>
    </row>
    <row r="56" spans="1:7" ht="44.1" customHeight="1" x14ac:dyDescent="0.25">
      <c r="A56" s="46">
        <v>2</v>
      </c>
      <c r="B56" s="33" t="s">
        <v>259</v>
      </c>
      <c r="C56" s="34" t="s">
        <v>260</v>
      </c>
      <c r="D56" s="37" t="s">
        <v>237</v>
      </c>
      <c r="E56" s="14" t="s">
        <v>261</v>
      </c>
      <c r="F56" s="36" t="s">
        <v>262</v>
      </c>
      <c r="G56" s="30" t="s">
        <v>150</v>
      </c>
    </row>
    <row r="57" spans="1:7" ht="44.1" customHeight="1" x14ac:dyDescent="0.25">
      <c r="A57" s="46">
        <v>3</v>
      </c>
      <c r="B57" s="33" t="s">
        <v>263</v>
      </c>
      <c r="C57" s="34" t="s">
        <v>264</v>
      </c>
      <c r="D57" s="37" t="s">
        <v>153</v>
      </c>
      <c r="E57" s="14" t="s">
        <v>265</v>
      </c>
      <c r="F57" s="36" t="s">
        <v>266</v>
      </c>
      <c r="G57" s="30" t="s">
        <v>150</v>
      </c>
    </row>
    <row r="58" spans="1:7" ht="44.1" customHeight="1" x14ac:dyDescent="0.25">
      <c r="A58" s="46">
        <v>4</v>
      </c>
      <c r="B58" s="33" t="s">
        <v>267</v>
      </c>
      <c r="C58" s="34" t="s">
        <v>268</v>
      </c>
      <c r="D58" s="37" t="s">
        <v>183</v>
      </c>
      <c r="E58" s="14" t="s">
        <v>269</v>
      </c>
      <c r="F58" s="36" t="s">
        <v>270</v>
      </c>
      <c r="G58" s="30" t="s">
        <v>150</v>
      </c>
    </row>
    <row r="60" spans="1:7" ht="26.1" customHeight="1" x14ac:dyDescent="0.25">
      <c r="A60" s="137" t="s">
        <v>271</v>
      </c>
      <c r="B60" s="122"/>
      <c r="C60" s="122"/>
      <c r="D60" s="122"/>
      <c r="E60" s="122"/>
      <c r="F60" s="122"/>
      <c r="G60" s="122"/>
    </row>
    <row r="61" spans="1:7" ht="15.95" customHeight="1" x14ac:dyDescent="0.25">
      <c r="A61" s="139" t="s">
        <v>272</v>
      </c>
      <c r="B61" s="122"/>
      <c r="C61" s="122"/>
      <c r="D61" s="122"/>
      <c r="E61" s="122"/>
      <c r="F61" s="122"/>
      <c r="G61" s="122"/>
    </row>
    <row r="62" spans="1:7" ht="27.95" customHeight="1" x14ac:dyDescent="0.25">
      <c r="A62" s="129" t="s">
        <v>273</v>
      </c>
      <c r="B62" s="122"/>
      <c r="C62" s="122"/>
      <c r="D62" s="122"/>
      <c r="E62" s="122"/>
      <c r="F62" s="122"/>
      <c r="G62" s="122"/>
    </row>
    <row r="63" spans="1:7" ht="26.1" customHeight="1" x14ac:dyDescent="0.25">
      <c r="A63" s="1" t="s">
        <v>10</v>
      </c>
      <c r="B63" s="1" t="s">
        <v>135</v>
      </c>
      <c r="C63" s="1" t="s">
        <v>136</v>
      </c>
      <c r="D63" s="1" t="s">
        <v>137</v>
      </c>
      <c r="E63" s="1" t="s">
        <v>138</v>
      </c>
      <c r="F63" s="1" t="s">
        <v>139</v>
      </c>
      <c r="G63" s="1" t="s">
        <v>140</v>
      </c>
    </row>
    <row r="64" spans="1:7" ht="44.1" customHeight="1" x14ac:dyDescent="0.25">
      <c r="A64" s="23">
        <v>1</v>
      </c>
      <c r="B64" s="33" t="s">
        <v>274</v>
      </c>
      <c r="C64" s="34" t="s">
        <v>275</v>
      </c>
      <c r="D64" s="37" t="s">
        <v>225</v>
      </c>
      <c r="E64" s="14" t="s">
        <v>276</v>
      </c>
      <c r="F64" s="36" t="s">
        <v>277</v>
      </c>
      <c r="G64" s="30" t="s">
        <v>150</v>
      </c>
    </row>
    <row r="65" spans="1:7" ht="44.1" customHeight="1" x14ac:dyDescent="0.25">
      <c r="A65" s="23">
        <v>2</v>
      </c>
      <c r="B65" s="33" t="s">
        <v>278</v>
      </c>
      <c r="C65" s="34" t="s">
        <v>279</v>
      </c>
      <c r="D65" s="37" t="s">
        <v>280</v>
      </c>
      <c r="E65" s="14" t="s">
        <v>281</v>
      </c>
      <c r="F65" s="36" t="s">
        <v>282</v>
      </c>
      <c r="G65" s="30" t="s">
        <v>150</v>
      </c>
    </row>
    <row r="66" spans="1:7" ht="44.1" customHeight="1" x14ac:dyDescent="0.25">
      <c r="A66" s="23">
        <v>3</v>
      </c>
      <c r="B66" s="33" t="s">
        <v>283</v>
      </c>
      <c r="C66" s="34" t="s">
        <v>284</v>
      </c>
      <c r="D66" s="37" t="s">
        <v>285</v>
      </c>
      <c r="E66" s="14" t="s">
        <v>286</v>
      </c>
      <c r="F66" s="36" t="s">
        <v>287</v>
      </c>
      <c r="G66" s="30" t="s">
        <v>150</v>
      </c>
    </row>
    <row r="67" spans="1:7" ht="44.1" customHeight="1" x14ac:dyDescent="0.25">
      <c r="A67" s="23">
        <v>4</v>
      </c>
      <c r="B67" s="33" t="s">
        <v>288</v>
      </c>
      <c r="C67" s="34" t="s">
        <v>289</v>
      </c>
      <c r="D67" s="37" t="s">
        <v>290</v>
      </c>
      <c r="E67" s="14" t="s">
        <v>291</v>
      </c>
      <c r="F67" s="36" t="s">
        <v>292</v>
      </c>
      <c r="G67" s="30" t="s">
        <v>150</v>
      </c>
    </row>
    <row r="69" spans="1:7" ht="26.1" customHeight="1" x14ac:dyDescent="0.25">
      <c r="A69" s="140" t="s">
        <v>293</v>
      </c>
      <c r="B69" s="122"/>
      <c r="C69" s="122"/>
      <c r="D69" s="122"/>
      <c r="E69" s="122"/>
      <c r="F69" s="122"/>
      <c r="G69" s="122"/>
    </row>
    <row r="70" spans="1:7" ht="15.95" customHeight="1" x14ac:dyDescent="0.25">
      <c r="A70" s="136" t="s">
        <v>294</v>
      </c>
      <c r="B70" s="122"/>
      <c r="C70" s="122"/>
      <c r="D70" s="122"/>
      <c r="E70" s="122"/>
      <c r="F70" s="122"/>
      <c r="G70" s="122"/>
    </row>
    <row r="71" spans="1:7" ht="27.95" customHeight="1" x14ac:dyDescent="0.25">
      <c r="A71" s="129" t="s">
        <v>295</v>
      </c>
      <c r="B71" s="122"/>
      <c r="C71" s="122"/>
      <c r="D71" s="122"/>
      <c r="E71" s="122"/>
      <c r="F71" s="122"/>
      <c r="G71" s="122"/>
    </row>
    <row r="72" spans="1:7" ht="26.1" customHeight="1" x14ac:dyDescent="0.25">
      <c r="A72" s="40" t="s">
        <v>10</v>
      </c>
      <c r="B72" s="40" t="s">
        <v>135</v>
      </c>
      <c r="C72" s="40" t="s">
        <v>136</v>
      </c>
      <c r="D72" s="40" t="s">
        <v>137</v>
      </c>
      <c r="E72" s="40" t="s">
        <v>138</v>
      </c>
      <c r="F72" s="40" t="s">
        <v>139</v>
      </c>
      <c r="G72" s="40" t="s">
        <v>140</v>
      </c>
    </row>
    <row r="73" spans="1:7" ht="44.1" customHeight="1" x14ac:dyDescent="0.25">
      <c r="A73" s="27">
        <v>1</v>
      </c>
      <c r="B73" s="33" t="s">
        <v>296</v>
      </c>
      <c r="C73" s="34" t="s">
        <v>297</v>
      </c>
      <c r="D73" s="37" t="s">
        <v>298</v>
      </c>
      <c r="E73" s="14" t="s">
        <v>299</v>
      </c>
      <c r="F73" s="36" t="s">
        <v>300</v>
      </c>
      <c r="G73" s="30" t="s">
        <v>150</v>
      </c>
    </row>
    <row r="74" spans="1:7" ht="44.1" customHeight="1" x14ac:dyDescent="0.25">
      <c r="A74" s="27">
        <v>2</v>
      </c>
      <c r="B74" s="33" t="s">
        <v>301</v>
      </c>
      <c r="C74" s="34" t="s">
        <v>302</v>
      </c>
      <c r="D74" s="37" t="s">
        <v>303</v>
      </c>
      <c r="E74" s="14" t="s">
        <v>304</v>
      </c>
      <c r="F74" s="36" t="s">
        <v>305</v>
      </c>
      <c r="G74" s="30" t="s">
        <v>150</v>
      </c>
    </row>
    <row r="75" spans="1:7" ht="44.1" customHeight="1" x14ac:dyDescent="0.25">
      <c r="A75" s="27">
        <v>3</v>
      </c>
      <c r="B75" s="33" t="s">
        <v>306</v>
      </c>
      <c r="C75" s="34" t="s">
        <v>307</v>
      </c>
      <c r="D75" s="37" t="s">
        <v>308</v>
      </c>
      <c r="E75" s="14" t="s">
        <v>309</v>
      </c>
      <c r="F75" s="36" t="s">
        <v>310</v>
      </c>
      <c r="G75" s="30" t="s">
        <v>150</v>
      </c>
    </row>
    <row r="76" spans="1:7" ht="44.1" customHeight="1" x14ac:dyDescent="0.25">
      <c r="A76" s="27">
        <v>4</v>
      </c>
      <c r="B76" s="33" t="s">
        <v>311</v>
      </c>
      <c r="C76" s="34" t="s">
        <v>312</v>
      </c>
      <c r="D76" s="37" t="s">
        <v>313</v>
      </c>
      <c r="E76" s="14" t="s">
        <v>314</v>
      </c>
      <c r="F76" s="36" t="s">
        <v>315</v>
      </c>
      <c r="G76" s="30" t="s">
        <v>150</v>
      </c>
    </row>
  </sheetData>
  <mergeCells count="26">
    <mergeCell ref="A71:G71"/>
    <mergeCell ref="A33:G33"/>
    <mergeCell ref="A42:G42"/>
    <mergeCell ref="A23:G23"/>
    <mergeCell ref="A1:G1"/>
    <mergeCell ref="A70:G70"/>
    <mergeCell ref="A6:G6"/>
    <mergeCell ref="A69:G69"/>
    <mergeCell ref="A25:G25"/>
    <mergeCell ref="A2:G2"/>
    <mergeCell ref="A62:G62"/>
    <mergeCell ref="A52:G52"/>
    <mergeCell ref="A43:G43"/>
    <mergeCell ref="A13:G13"/>
    <mergeCell ref="A44:G44"/>
    <mergeCell ref="A34:G34"/>
    <mergeCell ref="A24:G24"/>
    <mergeCell ref="A15:G15"/>
    <mergeCell ref="A60:G60"/>
    <mergeCell ref="A51:G51"/>
    <mergeCell ref="A61:G61"/>
    <mergeCell ref="A14:G14"/>
    <mergeCell ref="A53:G53"/>
    <mergeCell ref="A35:G35"/>
    <mergeCell ref="A4:G4"/>
    <mergeCell ref="A5:G5"/>
  </mergeCells>
  <dataValidations count="1">
    <dataValidation type="list" allowBlank="1" sqref="G73:G77" xr:uid="{00000000-0002-0000-0200-000000000000}">
      <formula1>"⏳ TODO,🔄 IN PROGRESS,✅ DONE,🚫 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K30"/>
  <sheetViews>
    <sheetView showGridLines="0" tabSelected="1" workbookViewId="0">
      <pane ySplit="3" topLeftCell="A4" activePane="bottomLeft" state="frozen"/>
      <selection pane="bottomLeft" activeCell="G6" sqref="G6"/>
    </sheetView>
  </sheetViews>
  <sheetFormatPr defaultRowHeight="15" x14ac:dyDescent="0.25"/>
  <cols>
    <col min="1" max="1" width="5" customWidth="1"/>
    <col min="2" max="2" width="9" customWidth="1"/>
    <col min="3" max="3" width="28" customWidth="1"/>
    <col min="4" max="4" width="36" customWidth="1"/>
    <col min="5" max="6" width="15" customWidth="1"/>
    <col min="7" max="7" width="14" customWidth="1"/>
    <col min="8" max="9" width="13" customWidth="1"/>
    <col min="10" max="10" width="12" customWidth="1"/>
    <col min="11" max="11" width="32" customWidth="1"/>
  </cols>
  <sheetData>
    <row r="1" spans="1:11" ht="33.950000000000003" customHeight="1" x14ac:dyDescent="0.25">
      <c r="A1" s="125" t="s">
        <v>316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</row>
    <row r="2" spans="1:11" ht="15.95" customHeight="1" x14ac:dyDescent="0.25">
      <c r="A2" s="123" t="s">
        <v>317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26.1" customHeight="1" x14ac:dyDescent="0.25">
      <c r="A3" s="1" t="s">
        <v>10</v>
      </c>
      <c r="B3" s="1" t="s">
        <v>135</v>
      </c>
      <c r="C3" s="1" t="s">
        <v>318</v>
      </c>
      <c r="D3" s="1" t="s">
        <v>319</v>
      </c>
      <c r="E3" s="1" t="s">
        <v>320</v>
      </c>
      <c r="F3" s="1" t="s">
        <v>321</v>
      </c>
      <c r="G3" s="1" t="s">
        <v>140</v>
      </c>
      <c r="H3" s="1" t="s">
        <v>322</v>
      </c>
      <c r="I3" s="1" t="s">
        <v>323</v>
      </c>
      <c r="J3" s="1" t="s">
        <v>324</v>
      </c>
      <c r="K3" s="1" t="s">
        <v>325</v>
      </c>
    </row>
    <row r="4" spans="1:11" ht="21.95" customHeight="1" x14ac:dyDescent="0.25">
      <c r="A4" s="124" t="s">
        <v>326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</row>
    <row r="5" spans="1:11" ht="42" customHeight="1" x14ac:dyDescent="0.25">
      <c r="A5" s="47">
        <v>1</v>
      </c>
      <c r="B5" s="48" t="s">
        <v>327</v>
      </c>
      <c r="C5" s="49" t="s">
        <v>328</v>
      </c>
      <c r="D5" s="4" t="s">
        <v>329</v>
      </c>
      <c r="E5" s="50" t="s">
        <v>330</v>
      </c>
      <c r="F5" s="50" t="s">
        <v>331</v>
      </c>
      <c r="G5" s="51" t="s">
        <v>332</v>
      </c>
      <c r="H5" s="50" t="s">
        <v>333</v>
      </c>
      <c r="I5" s="50"/>
      <c r="J5" s="52" t="s">
        <v>334</v>
      </c>
      <c r="K5" s="53" t="s">
        <v>335</v>
      </c>
    </row>
    <row r="6" spans="1:11" ht="42" customHeight="1" x14ac:dyDescent="0.25">
      <c r="A6" s="47">
        <v>2</v>
      </c>
      <c r="B6" s="48" t="s">
        <v>336</v>
      </c>
      <c r="C6" s="49" t="s">
        <v>337</v>
      </c>
      <c r="D6" s="4" t="s">
        <v>338</v>
      </c>
      <c r="E6" s="50" t="s">
        <v>330</v>
      </c>
      <c r="F6" s="50" t="s">
        <v>339</v>
      </c>
      <c r="G6" s="51" t="s">
        <v>332</v>
      </c>
      <c r="H6" s="50" t="s">
        <v>340</v>
      </c>
      <c r="I6" s="50"/>
      <c r="J6" s="52" t="s">
        <v>334</v>
      </c>
      <c r="K6" s="53" t="s">
        <v>341</v>
      </c>
    </row>
    <row r="7" spans="1:11" ht="42" customHeight="1" x14ac:dyDescent="0.25">
      <c r="A7" s="47">
        <v>3</v>
      </c>
      <c r="B7" s="48" t="s">
        <v>342</v>
      </c>
      <c r="C7" s="49" t="s">
        <v>343</v>
      </c>
      <c r="D7" s="4" t="s">
        <v>344</v>
      </c>
      <c r="E7" s="50" t="s">
        <v>330</v>
      </c>
      <c r="F7" s="50" t="s">
        <v>331</v>
      </c>
      <c r="G7" s="51" t="s">
        <v>332</v>
      </c>
      <c r="H7" s="50" t="s">
        <v>340</v>
      </c>
      <c r="I7" s="50"/>
      <c r="J7" s="54" t="s">
        <v>345</v>
      </c>
      <c r="K7" s="53"/>
    </row>
    <row r="8" spans="1:11" ht="42" customHeight="1" x14ac:dyDescent="0.25">
      <c r="A8" s="47">
        <v>4</v>
      </c>
      <c r="B8" s="48" t="s">
        <v>346</v>
      </c>
      <c r="C8" s="49" t="s">
        <v>347</v>
      </c>
      <c r="D8" s="4" t="s">
        <v>348</v>
      </c>
      <c r="E8" s="50" t="s">
        <v>330</v>
      </c>
      <c r="F8" s="50" t="s">
        <v>339</v>
      </c>
      <c r="G8" s="51" t="s">
        <v>332</v>
      </c>
      <c r="H8" s="50" t="s">
        <v>349</v>
      </c>
      <c r="I8" s="50"/>
      <c r="J8" s="54" t="s">
        <v>345</v>
      </c>
      <c r="K8" s="53"/>
    </row>
    <row r="9" spans="1:11" ht="42" customHeight="1" x14ac:dyDescent="0.25">
      <c r="A9" s="47">
        <v>5</v>
      </c>
      <c r="B9" s="48" t="s">
        <v>350</v>
      </c>
      <c r="C9" s="49" t="s">
        <v>351</v>
      </c>
      <c r="D9" s="4" t="s">
        <v>352</v>
      </c>
      <c r="E9" s="50" t="s">
        <v>330</v>
      </c>
      <c r="F9" s="50" t="s">
        <v>353</v>
      </c>
      <c r="G9" s="51" t="s">
        <v>332</v>
      </c>
      <c r="H9" s="50" t="s">
        <v>349</v>
      </c>
      <c r="I9" s="50"/>
      <c r="J9" s="55" t="s">
        <v>354</v>
      </c>
      <c r="K9" s="53"/>
    </row>
    <row r="11" spans="1:11" ht="21.95" customHeight="1" x14ac:dyDescent="0.25">
      <c r="A11" s="124" t="s">
        <v>355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</row>
    <row r="12" spans="1:11" ht="42" customHeight="1" x14ac:dyDescent="0.25">
      <c r="A12" s="17">
        <v>6</v>
      </c>
      <c r="B12" s="56" t="s">
        <v>356</v>
      </c>
      <c r="C12" s="57" t="s">
        <v>357</v>
      </c>
      <c r="D12" s="9" t="s">
        <v>358</v>
      </c>
      <c r="E12" s="19" t="s">
        <v>359</v>
      </c>
      <c r="F12" s="19" t="s">
        <v>331</v>
      </c>
      <c r="G12" s="29" t="s">
        <v>360</v>
      </c>
      <c r="H12" s="19" t="s">
        <v>361</v>
      </c>
      <c r="I12" s="19"/>
      <c r="J12" s="58" t="s">
        <v>334</v>
      </c>
      <c r="K12" s="59" t="s">
        <v>362</v>
      </c>
    </row>
    <row r="13" spans="1:11" ht="42" customHeight="1" x14ac:dyDescent="0.25">
      <c r="A13" s="17">
        <v>7</v>
      </c>
      <c r="B13" s="56" t="s">
        <v>363</v>
      </c>
      <c r="C13" s="57" t="s">
        <v>364</v>
      </c>
      <c r="D13" s="9" t="s">
        <v>365</v>
      </c>
      <c r="E13" s="19" t="s">
        <v>359</v>
      </c>
      <c r="F13" s="19" t="s">
        <v>331</v>
      </c>
      <c r="G13" s="29" t="s">
        <v>360</v>
      </c>
      <c r="H13" s="19" t="s">
        <v>361</v>
      </c>
      <c r="I13" s="19"/>
      <c r="J13" s="58" t="s">
        <v>334</v>
      </c>
      <c r="K13" s="59" t="s">
        <v>366</v>
      </c>
    </row>
    <row r="14" spans="1:11" ht="42" customHeight="1" x14ac:dyDescent="0.25">
      <c r="A14" s="17">
        <v>8</v>
      </c>
      <c r="B14" s="56" t="s">
        <v>367</v>
      </c>
      <c r="C14" s="57" t="s">
        <v>368</v>
      </c>
      <c r="D14" s="9" t="s">
        <v>369</v>
      </c>
      <c r="E14" s="19" t="s">
        <v>359</v>
      </c>
      <c r="F14" s="19" t="s">
        <v>331</v>
      </c>
      <c r="G14" s="29" t="s">
        <v>360</v>
      </c>
      <c r="H14" s="19" t="s">
        <v>361</v>
      </c>
      <c r="I14" s="19"/>
      <c r="J14" s="58" t="s">
        <v>334</v>
      </c>
      <c r="K14" s="59"/>
    </row>
    <row r="15" spans="1:11" ht="42" customHeight="1" x14ac:dyDescent="0.25">
      <c r="A15" s="23">
        <v>9</v>
      </c>
      <c r="B15" s="33" t="s">
        <v>370</v>
      </c>
      <c r="C15" s="34" t="s">
        <v>371</v>
      </c>
      <c r="D15" s="14" t="s">
        <v>372</v>
      </c>
      <c r="E15" s="25" t="s">
        <v>373</v>
      </c>
      <c r="F15" s="25" t="s">
        <v>331</v>
      </c>
      <c r="G15" s="30" t="s">
        <v>150</v>
      </c>
      <c r="H15" s="25" t="s">
        <v>76</v>
      </c>
      <c r="I15" s="25"/>
      <c r="J15" s="60" t="s">
        <v>334</v>
      </c>
      <c r="K15" s="36" t="s">
        <v>374</v>
      </c>
    </row>
    <row r="16" spans="1:11" ht="42" customHeight="1" x14ac:dyDescent="0.25">
      <c r="A16" s="17">
        <v>10</v>
      </c>
      <c r="B16" s="56" t="s">
        <v>375</v>
      </c>
      <c r="C16" s="57" t="s">
        <v>376</v>
      </c>
      <c r="D16" s="9" t="s">
        <v>377</v>
      </c>
      <c r="E16" s="19" t="s">
        <v>373</v>
      </c>
      <c r="F16" s="19" t="s">
        <v>339</v>
      </c>
      <c r="G16" s="29" t="s">
        <v>360</v>
      </c>
      <c r="H16" s="19" t="s">
        <v>361</v>
      </c>
      <c r="I16" s="19"/>
      <c r="J16" s="61" t="s">
        <v>345</v>
      </c>
      <c r="K16" s="59"/>
    </row>
    <row r="18" spans="1:11" ht="21.95" customHeight="1" x14ac:dyDescent="0.25">
      <c r="A18" s="124" t="s">
        <v>378</v>
      </c>
      <c r="B18" s="122"/>
      <c r="C18" s="122"/>
      <c r="D18" s="122"/>
      <c r="E18" s="122"/>
      <c r="F18" s="122"/>
      <c r="G18" s="122"/>
      <c r="H18" s="122"/>
      <c r="I18" s="122"/>
      <c r="J18" s="122"/>
      <c r="K18" s="122"/>
    </row>
    <row r="19" spans="1:11" ht="42" customHeight="1" x14ac:dyDescent="0.25">
      <c r="A19" s="47">
        <v>11</v>
      </c>
      <c r="B19" s="48" t="s">
        <v>379</v>
      </c>
      <c r="C19" s="49" t="s">
        <v>380</v>
      </c>
      <c r="D19" s="4" t="s">
        <v>381</v>
      </c>
      <c r="E19" s="50" t="s">
        <v>382</v>
      </c>
      <c r="F19" s="50" t="s">
        <v>353</v>
      </c>
      <c r="G19" s="51" t="s">
        <v>332</v>
      </c>
      <c r="H19" s="50" t="s">
        <v>333</v>
      </c>
      <c r="I19" s="50"/>
      <c r="J19" s="52" t="s">
        <v>334</v>
      </c>
      <c r="K19" s="53" t="s">
        <v>341</v>
      </c>
    </row>
    <row r="20" spans="1:11" ht="42" customHeight="1" x14ac:dyDescent="0.25">
      <c r="A20" s="17">
        <v>12</v>
      </c>
      <c r="B20" s="56" t="s">
        <v>383</v>
      </c>
      <c r="C20" s="57" t="s">
        <v>384</v>
      </c>
      <c r="D20" s="9" t="s">
        <v>385</v>
      </c>
      <c r="E20" s="19" t="s">
        <v>382</v>
      </c>
      <c r="F20" s="19" t="s">
        <v>339</v>
      </c>
      <c r="G20" s="29" t="s">
        <v>360</v>
      </c>
      <c r="H20" s="19" t="s">
        <v>386</v>
      </c>
      <c r="I20" s="19"/>
      <c r="J20" s="61" t="s">
        <v>345</v>
      </c>
      <c r="K20" s="59" t="s">
        <v>387</v>
      </c>
    </row>
    <row r="21" spans="1:11" ht="42" customHeight="1" x14ac:dyDescent="0.25">
      <c r="A21" s="23">
        <v>13</v>
      </c>
      <c r="B21" s="33" t="s">
        <v>388</v>
      </c>
      <c r="C21" s="34" t="s">
        <v>389</v>
      </c>
      <c r="D21" s="14" t="s">
        <v>390</v>
      </c>
      <c r="E21" s="25" t="s">
        <v>391</v>
      </c>
      <c r="F21" s="25" t="s">
        <v>353</v>
      </c>
      <c r="G21" s="30" t="s">
        <v>150</v>
      </c>
      <c r="H21" s="25" t="s">
        <v>386</v>
      </c>
      <c r="I21" s="25"/>
      <c r="J21" s="62" t="s">
        <v>354</v>
      </c>
      <c r="K21" s="36" t="s">
        <v>392</v>
      </c>
    </row>
    <row r="22" spans="1:11" ht="42" customHeight="1" x14ac:dyDescent="0.25">
      <c r="A22" s="47">
        <v>14</v>
      </c>
      <c r="B22" s="48" t="s">
        <v>393</v>
      </c>
      <c r="C22" s="49" t="s">
        <v>394</v>
      </c>
      <c r="D22" s="4" t="s">
        <v>395</v>
      </c>
      <c r="E22" s="50" t="s">
        <v>396</v>
      </c>
      <c r="F22" s="50" t="s">
        <v>353</v>
      </c>
      <c r="G22" s="51" t="s">
        <v>332</v>
      </c>
      <c r="H22" s="50" t="s">
        <v>397</v>
      </c>
      <c r="I22" s="50"/>
      <c r="J22" s="55" t="s">
        <v>354</v>
      </c>
      <c r="K22" s="53" t="s">
        <v>398</v>
      </c>
    </row>
    <row r="23" spans="1:11" ht="42" customHeight="1" x14ac:dyDescent="0.25">
      <c r="A23" s="23">
        <v>15</v>
      </c>
      <c r="B23" s="33" t="s">
        <v>399</v>
      </c>
      <c r="C23" s="34" t="s">
        <v>400</v>
      </c>
      <c r="D23" s="14" t="s">
        <v>401</v>
      </c>
      <c r="E23" s="25" t="s">
        <v>402</v>
      </c>
      <c r="F23" s="25" t="s">
        <v>331</v>
      </c>
      <c r="G23" s="30" t="s">
        <v>150</v>
      </c>
      <c r="H23" s="25" t="s">
        <v>76</v>
      </c>
      <c r="I23" s="25"/>
      <c r="J23" s="60" t="s">
        <v>334</v>
      </c>
      <c r="K23" s="36" t="s">
        <v>403</v>
      </c>
    </row>
    <row r="25" spans="1:11" ht="21.95" customHeight="1" x14ac:dyDescent="0.25">
      <c r="A25" s="124" t="s">
        <v>404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</row>
    <row r="26" spans="1:11" ht="42" customHeight="1" x14ac:dyDescent="0.25">
      <c r="A26" s="23">
        <v>16</v>
      </c>
      <c r="B26" s="33" t="s">
        <v>405</v>
      </c>
      <c r="C26" s="34" t="s">
        <v>406</v>
      </c>
      <c r="D26" s="14" t="s">
        <v>407</v>
      </c>
      <c r="E26" s="25" t="s">
        <v>408</v>
      </c>
      <c r="F26" s="25" t="s">
        <v>331</v>
      </c>
      <c r="G26" s="30" t="s">
        <v>150</v>
      </c>
      <c r="H26" s="25" t="s">
        <v>361</v>
      </c>
      <c r="I26" s="25"/>
      <c r="J26" s="60" t="s">
        <v>334</v>
      </c>
      <c r="K26" s="36" t="s">
        <v>409</v>
      </c>
    </row>
    <row r="27" spans="1:11" ht="42" customHeight="1" x14ac:dyDescent="0.25">
      <c r="A27" s="23">
        <v>17</v>
      </c>
      <c r="B27" s="33" t="s">
        <v>410</v>
      </c>
      <c r="C27" s="34" t="s">
        <v>411</v>
      </c>
      <c r="D27" s="14" t="s">
        <v>412</v>
      </c>
      <c r="E27" s="25" t="s">
        <v>408</v>
      </c>
      <c r="F27" s="25" t="s">
        <v>331</v>
      </c>
      <c r="G27" s="30" t="s">
        <v>150</v>
      </c>
      <c r="H27" s="25" t="s">
        <v>361</v>
      </c>
      <c r="I27" s="25"/>
      <c r="J27" s="60" t="s">
        <v>334</v>
      </c>
      <c r="K27" s="36" t="s">
        <v>413</v>
      </c>
    </row>
    <row r="28" spans="1:11" ht="42" customHeight="1" x14ac:dyDescent="0.25">
      <c r="A28" s="47">
        <v>18</v>
      </c>
      <c r="B28" s="48" t="s">
        <v>414</v>
      </c>
      <c r="C28" s="49" t="s">
        <v>415</v>
      </c>
      <c r="D28" s="4" t="s">
        <v>416</v>
      </c>
      <c r="E28" s="50" t="s">
        <v>408</v>
      </c>
      <c r="F28" s="50" t="s">
        <v>353</v>
      </c>
      <c r="G28" s="51" t="s">
        <v>332</v>
      </c>
      <c r="H28" s="50" t="s">
        <v>397</v>
      </c>
      <c r="I28" s="50"/>
      <c r="J28" s="54" t="s">
        <v>345</v>
      </c>
      <c r="K28" s="53" t="s">
        <v>417</v>
      </c>
    </row>
    <row r="29" spans="1:11" ht="42" customHeight="1" x14ac:dyDescent="0.25">
      <c r="A29" s="17">
        <v>19</v>
      </c>
      <c r="B29" s="56" t="s">
        <v>418</v>
      </c>
      <c r="C29" s="57" t="s">
        <v>419</v>
      </c>
      <c r="D29" s="9" t="s">
        <v>420</v>
      </c>
      <c r="E29" s="19" t="s">
        <v>408</v>
      </c>
      <c r="F29" s="19" t="s">
        <v>353</v>
      </c>
      <c r="G29" s="29" t="s">
        <v>360</v>
      </c>
      <c r="H29" s="19" t="s">
        <v>361</v>
      </c>
      <c r="I29" s="19"/>
      <c r="J29" s="61" t="s">
        <v>345</v>
      </c>
      <c r="K29" s="59"/>
    </row>
    <row r="30" spans="1:11" ht="42" customHeight="1" x14ac:dyDescent="0.25">
      <c r="A30" s="23">
        <v>20</v>
      </c>
      <c r="B30" s="33" t="s">
        <v>421</v>
      </c>
      <c r="C30" s="34" t="s">
        <v>422</v>
      </c>
      <c r="D30" s="14" t="s">
        <v>423</v>
      </c>
      <c r="E30" s="25" t="s">
        <v>408</v>
      </c>
      <c r="F30" s="25" t="s">
        <v>353</v>
      </c>
      <c r="G30" s="30" t="s">
        <v>150</v>
      </c>
      <c r="H30" s="25" t="s">
        <v>76</v>
      </c>
      <c r="I30" s="25"/>
      <c r="J30" s="62" t="s">
        <v>354</v>
      </c>
      <c r="K30" s="36" t="s">
        <v>424</v>
      </c>
    </row>
  </sheetData>
  <mergeCells count="6">
    <mergeCell ref="A1:K1"/>
    <mergeCell ref="A18:K18"/>
    <mergeCell ref="A4:K4"/>
    <mergeCell ref="A25:K25"/>
    <mergeCell ref="A2:K2"/>
    <mergeCell ref="A11:K11"/>
  </mergeCells>
  <dataValidations count="1">
    <dataValidation type="list" allowBlank="1" sqref="G4:G300" xr:uid="{00000000-0002-0000-0300-000000000000}">
      <formula1>"⏳ TODO,🔄 IN PROGRESS,✅ DONE,🚫 BLOCKED,⏭ SKIP"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2B21"/>
  </sheetPr>
  <dimension ref="A1:K2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9" customWidth="1"/>
    <col min="3" max="3" width="28" customWidth="1"/>
    <col min="4" max="4" width="36" customWidth="1"/>
    <col min="5" max="6" width="15" customWidth="1"/>
    <col min="7" max="7" width="14" customWidth="1"/>
    <col min="8" max="9" width="13" customWidth="1"/>
    <col min="10" max="10" width="12" customWidth="1"/>
    <col min="11" max="11" width="32" customWidth="1"/>
  </cols>
  <sheetData>
    <row r="1" spans="1:11" ht="33.950000000000003" customHeight="1" x14ac:dyDescent="0.25">
      <c r="A1" s="125" t="s">
        <v>425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</row>
    <row r="2" spans="1:11" ht="15.95" customHeight="1" x14ac:dyDescent="0.25">
      <c r="A2" s="123" t="s">
        <v>426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26.1" customHeight="1" x14ac:dyDescent="0.25">
      <c r="A3" s="1" t="s">
        <v>10</v>
      </c>
      <c r="B3" s="1" t="s">
        <v>135</v>
      </c>
      <c r="C3" s="1" t="s">
        <v>318</v>
      </c>
      <c r="D3" s="1" t="s">
        <v>319</v>
      </c>
      <c r="E3" s="1" t="s">
        <v>320</v>
      </c>
      <c r="F3" s="1" t="s">
        <v>321</v>
      </c>
      <c r="G3" s="1" t="s">
        <v>140</v>
      </c>
      <c r="H3" s="1" t="s">
        <v>322</v>
      </c>
      <c r="I3" s="1" t="s">
        <v>323</v>
      </c>
      <c r="J3" s="1" t="s">
        <v>324</v>
      </c>
      <c r="K3" s="1" t="s">
        <v>325</v>
      </c>
    </row>
    <row r="4" spans="1:11" ht="21.95" customHeight="1" x14ac:dyDescent="0.25">
      <c r="A4" s="124" t="s">
        <v>427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</row>
    <row r="5" spans="1:11" ht="42" customHeight="1" x14ac:dyDescent="0.25">
      <c r="A5" s="17">
        <v>1</v>
      </c>
      <c r="B5" s="56" t="s">
        <v>428</v>
      </c>
      <c r="C5" s="57" t="s">
        <v>429</v>
      </c>
      <c r="D5" s="9" t="s">
        <v>430</v>
      </c>
      <c r="E5" s="19" t="s">
        <v>431</v>
      </c>
      <c r="F5" s="19" t="s">
        <v>331</v>
      </c>
      <c r="G5" s="29" t="s">
        <v>360</v>
      </c>
      <c r="H5" s="19" t="s">
        <v>432</v>
      </c>
      <c r="I5" s="19"/>
      <c r="J5" s="58" t="s">
        <v>334</v>
      </c>
      <c r="K5" s="59" t="s">
        <v>433</v>
      </c>
    </row>
    <row r="6" spans="1:11" ht="42" customHeight="1" x14ac:dyDescent="0.25">
      <c r="A6" s="47">
        <v>2</v>
      </c>
      <c r="B6" s="48" t="s">
        <v>434</v>
      </c>
      <c r="C6" s="49" t="s">
        <v>435</v>
      </c>
      <c r="D6" s="4" t="s">
        <v>436</v>
      </c>
      <c r="E6" s="50" t="s">
        <v>431</v>
      </c>
      <c r="F6" s="50" t="s">
        <v>437</v>
      </c>
      <c r="G6" s="51" t="s">
        <v>332</v>
      </c>
      <c r="H6" s="50" t="s">
        <v>361</v>
      </c>
      <c r="I6" s="50"/>
      <c r="J6" s="52" t="s">
        <v>334</v>
      </c>
      <c r="K6" s="53" t="s">
        <v>438</v>
      </c>
    </row>
    <row r="7" spans="1:11" ht="42" customHeight="1" x14ac:dyDescent="0.25">
      <c r="A7" s="47">
        <v>3</v>
      </c>
      <c r="B7" s="48" t="s">
        <v>439</v>
      </c>
      <c r="C7" s="49" t="s">
        <v>440</v>
      </c>
      <c r="D7" s="4" t="s">
        <v>441</v>
      </c>
      <c r="E7" s="50" t="s">
        <v>431</v>
      </c>
      <c r="F7" s="50" t="s">
        <v>437</v>
      </c>
      <c r="G7" s="51" t="s">
        <v>332</v>
      </c>
      <c r="H7" s="50" t="s">
        <v>361</v>
      </c>
      <c r="I7" s="50"/>
      <c r="J7" s="52" t="s">
        <v>334</v>
      </c>
      <c r="K7" s="53" t="s">
        <v>442</v>
      </c>
    </row>
    <row r="8" spans="1:11" ht="42" customHeight="1" x14ac:dyDescent="0.25">
      <c r="A8" s="23">
        <v>4</v>
      </c>
      <c r="B8" s="33" t="s">
        <v>443</v>
      </c>
      <c r="C8" s="34" t="s">
        <v>444</v>
      </c>
      <c r="D8" s="14" t="s">
        <v>445</v>
      </c>
      <c r="E8" s="25" t="s">
        <v>431</v>
      </c>
      <c r="F8" s="25" t="s">
        <v>331</v>
      </c>
      <c r="G8" s="30" t="s">
        <v>150</v>
      </c>
      <c r="H8" s="25" t="s">
        <v>446</v>
      </c>
      <c r="I8" s="25"/>
      <c r="J8" s="60" t="s">
        <v>334</v>
      </c>
      <c r="K8" s="36" t="s">
        <v>447</v>
      </c>
    </row>
    <row r="9" spans="1:11" ht="42" customHeight="1" x14ac:dyDescent="0.25">
      <c r="A9" s="23">
        <v>5</v>
      </c>
      <c r="B9" s="33" t="s">
        <v>448</v>
      </c>
      <c r="C9" s="34" t="s">
        <v>449</v>
      </c>
      <c r="D9" s="14" t="s">
        <v>450</v>
      </c>
      <c r="E9" s="25" t="s">
        <v>431</v>
      </c>
      <c r="F9" s="25" t="s">
        <v>451</v>
      </c>
      <c r="G9" s="30" t="s">
        <v>150</v>
      </c>
      <c r="H9" s="25" t="s">
        <v>446</v>
      </c>
      <c r="I9" s="25"/>
      <c r="J9" s="60" t="s">
        <v>334</v>
      </c>
      <c r="K9" s="36" t="s">
        <v>452</v>
      </c>
    </row>
    <row r="10" spans="1:11" ht="42" customHeight="1" x14ac:dyDescent="0.25">
      <c r="A10" s="47">
        <v>6</v>
      </c>
      <c r="B10" s="48" t="s">
        <v>453</v>
      </c>
      <c r="C10" s="49" t="s">
        <v>454</v>
      </c>
      <c r="D10" s="4" t="s">
        <v>455</v>
      </c>
      <c r="E10" s="50" t="s">
        <v>431</v>
      </c>
      <c r="F10" s="50" t="s">
        <v>456</v>
      </c>
      <c r="G10" s="51" t="s">
        <v>332</v>
      </c>
      <c r="H10" s="50" t="s">
        <v>386</v>
      </c>
      <c r="I10" s="50"/>
      <c r="J10" s="54" t="s">
        <v>345</v>
      </c>
      <c r="K10" s="53" t="s">
        <v>457</v>
      </c>
    </row>
    <row r="11" spans="1:11" ht="42" customHeight="1" x14ac:dyDescent="0.25">
      <c r="A11" s="47">
        <v>7</v>
      </c>
      <c r="B11" s="48" t="s">
        <v>458</v>
      </c>
      <c r="C11" s="49" t="s">
        <v>459</v>
      </c>
      <c r="D11" s="4" t="s">
        <v>460</v>
      </c>
      <c r="E11" s="50" t="s">
        <v>431</v>
      </c>
      <c r="F11" s="50" t="s">
        <v>456</v>
      </c>
      <c r="G11" s="51" t="s">
        <v>332</v>
      </c>
      <c r="H11" s="50" t="s">
        <v>386</v>
      </c>
      <c r="I11" s="50"/>
      <c r="J11" s="54" t="s">
        <v>345</v>
      </c>
      <c r="K11" s="53" t="s">
        <v>461</v>
      </c>
    </row>
    <row r="12" spans="1:11" ht="42" customHeight="1" x14ac:dyDescent="0.25">
      <c r="A12" s="17">
        <v>8</v>
      </c>
      <c r="B12" s="56" t="s">
        <v>462</v>
      </c>
      <c r="C12" s="57" t="s">
        <v>463</v>
      </c>
      <c r="D12" s="9" t="s">
        <v>464</v>
      </c>
      <c r="E12" s="19" t="s">
        <v>431</v>
      </c>
      <c r="F12" s="19" t="s">
        <v>465</v>
      </c>
      <c r="G12" s="29" t="s">
        <v>360</v>
      </c>
      <c r="H12" s="19" t="s">
        <v>466</v>
      </c>
      <c r="I12" s="19"/>
      <c r="J12" s="58" t="s">
        <v>334</v>
      </c>
      <c r="K12" s="59"/>
    </row>
    <row r="14" spans="1:11" ht="21.95" customHeight="1" x14ac:dyDescent="0.25">
      <c r="A14" s="124" t="s">
        <v>467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</row>
    <row r="15" spans="1:11" ht="42" customHeight="1" x14ac:dyDescent="0.25">
      <c r="A15" s="17">
        <v>9</v>
      </c>
      <c r="B15" s="56" t="s">
        <v>468</v>
      </c>
      <c r="C15" s="57" t="s">
        <v>469</v>
      </c>
      <c r="D15" s="9" t="s">
        <v>470</v>
      </c>
      <c r="E15" s="19" t="s">
        <v>471</v>
      </c>
      <c r="F15" s="19" t="s">
        <v>331</v>
      </c>
      <c r="G15" s="29" t="s">
        <v>360</v>
      </c>
      <c r="H15" s="19" t="s">
        <v>81</v>
      </c>
      <c r="I15" s="19"/>
      <c r="J15" s="58" t="s">
        <v>334</v>
      </c>
      <c r="K15" s="59" t="s">
        <v>472</v>
      </c>
    </row>
    <row r="16" spans="1:11" ht="42" customHeight="1" x14ac:dyDescent="0.25">
      <c r="A16" s="23">
        <v>10</v>
      </c>
      <c r="B16" s="33" t="s">
        <v>473</v>
      </c>
      <c r="C16" s="34" t="s">
        <v>474</v>
      </c>
      <c r="D16" s="14" t="s">
        <v>475</v>
      </c>
      <c r="E16" s="25" t="s">
        <v>471</v>
      </c>
      <c r="F16" s="25" t="s">
        <v>476</v>
      </c>
      <c r="G16" s="30" t="s">
        <v>150</v>
      </c>
      <c r="H16" s="25" t="s">
        <v>432</v>
      </c>
      <c r="I16" s="25"/>
      <c r="J16" s="60" t="s">
        <v>334</v>
      </c>
      <c r="K16" s="36" t="s">
        <v>477</v>
      </c>
    </row>
    <row r="17" spans="1:11" ht="42" customHeight="1" x14ac:dyDescent="0.25">
      <c r="A17" s="23">
        <v>11</v>
      </c>
      <c r="B17" s="33" t="s">
        <v>478</v>
      </c>
      <c r="C17" s="34" t="s">
        <v>479</v>
      </c>
      <c r="D17" s="14" t="s">
        <v>480</v>
      </c>
      <c r="E17" s="25" t="s">
        <v>471</v>
      </c>
      <c r="F17" s="25" t="s">
        <v>476</v>
      </c>
      <c r="G17" s="30" t="s">
        <v>150</v>
      </c>
      <c r="H17" s="25" t="s">
        <v>481</v>
      </c>
      <c r="I17" s="25"/>
      <c r="J17" s="60" t="s">
        <v>334</v>
      </c>
      <c r="K17" s="36" t="s">
        <v>482</v>
      </c>
    </row>
    <row r="18" spans="1:11" ht="42" customHeight="1" x14ac:dyDescent="0.25">
      <c r="A18" s="47">
        <v>12</v>
      </c>
      <c r="B18" s="48" t="s">
        <v>483</v>
      </c>
      <c r="C18" s="49" t="s">
        <v>484</v>
      </c>
      <c r="D18" s="4" t="s">
        <v>485</v>
      </c>
      <c r="E18" s="50" t="s">
        <v>471</v>
      </c>
      <c r="F18" s="50" t="s">
        <v>353</v>
      </c>
      <c r="G18" s="51" t="s">
        <v>332</v>
      </c>
      <c r="H18" s="50" t="s">
        <v>82</v>
      </c>
      <c r="I18" s="50"/>
      <c r="J18" s="54" t="s">
        <v>345</v>
      </c>
      <c r="K18" s="53" t="s">
        <v>417</v>
      </c>
    </row>
    <row r="19" spans="1:11" ht="42" customHeight="1" x14ac:dyDescent="0.25">
      <c r="A19" s="23">
        <v>13</v>
      </c>
      <c r="B19" s="33" t="s">
        <v>486</v>
      </c>
      <c r="C19" s="34" t="s">
        <v>487</v>
      </c>
      <c r="D19" s="14" t="s">
        <v>488</v>
      </c>
      <c r="E19" s="25" t="s">
        <v>471</v>
      </c>
      <c r="F19" s="25" t="s">
        <v>339</v>
      </c>
      <c r="G19" s="30" t="s">
        <v>150</v>
      </c>
      <c r="H19" s="25" t="s">
        <v>481</v>
      </c>
      <c r="I19" s="25"/>
      <c r="J19" s="62" t="s">
        <v>354</v>
      </c>
      <c r="K19" s="36" t="s">
        <v>489</v>
      </c>
    </row>
    <row r="21" spans="1:11" ht="21.95" customHeight="1" x14ac:dyDescent="0.25">
      <c r="A21" s="124" t="s">
        <v>490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</row>
    <row r="22" spans="1:11" ht="42" customHeight="1" x14ac:dyDescent="0.25">
      <c r="A22" s="23">
        <v>14</v>
      </c>
      <c r="B22" s="33" t="s">
        <v>491</v>
      </c>
      <c r="C22" s="34" t="s">
        <v>492</v>
      </c>
      <c r="D22" s="14" t="s">
        <v>493</v>
      </c>
      <c r="E22" s="25" t="s">
        <v>494</v>
      </c>
      <c r="F22" s="25" t="s">
        <v>353</v>
      </c>
      <c r="G22" s="30" t="s">
        <v>150</v>
      </c>
      <c r="H22" s="25" t="s">
        <v>495</v>
      </c>
      <c r="I22" s="25"/>
      <c r="J22" s="63" t="s">
        <v>345</v>
      </c>
      <c r="K22" s="36" t="s">
        <v>496</v>
      </c>
    </row>
    <row r="23" spans="1:11" ht="42" customHeight="1" x14ac:dyDescent="0.25">
      <c r="A23" s="23">
        <v>15</v>
      </c>
      <c r="B23" s="33" t="s">
        <v>497</v>
      </c>
      <c r="C23" s="34" t="s">
        <v>498</v>
      </c>
      <c r="D23" s="14" t="s">
        <v>499</v>
      </c>
      <c r="E23" s="25" t="s">
        <v>494</v>
      </c>
      <c r="F23" s="25" t="s">
        <v>339</v>
      </c>
      <c r="G23" s="30" t="s">
        <v>150</v>
      </c>
      <c r="H23" s="25" t="s">
        <v>495</v>
      </c>
      <c r="I23" s="25"/>
      <c r="J23" s="63" t="s">
        <v>345</v>
      </c>
      <c r="K23" s="36" t="s">
        <v>500</v>
      </c>
    </row>
    <row r="24" spans="1:11" ht="42" customHeight="1" x14ac:dyDescent="0.25">
      <c r="A24" s="23">
        <v>16</v>
      </c>
      <c r="B24" s="33" t="s">
        <v>501</v>
      </c>
      <c r="C24" s="34" t="s">
        <v>502</v>
      </c>
      <c r="D24" s="14" t="s">
        <v>503</v>
      </c>
      <c r="E24" s="25" t="s">
        <v>494</v>
      </c>
      <c r="F24" s="25" t="s">
        <v>331</v>
      </c>
      <c r="G24" s="30" t="s">
        <v>150</v>
      </c>
      <c r="H24" s="25" t="s">
        <v>386</v>
      </c>
      <c r="I24" s="25"/>
      <c r="J24" s="63" t="s">
        <v>345</v>
      </c>
      <c r="K24" s="36" t="s">
        <v>504</v>
      </c>
    </row>
    <row r="25" spans="1:11" ht="42" customHeight="1" x14ac:dyDescent="0.25">
      <c r="A25" s="23">
        <v>17</v>
      </c>
      <c r="B25" s="33" t="s">
        <v>505</v>
      </c>
      <c r="C25" s="34" t="s">
        <v>506</v>
      </c>
      <c r="D25" s="14" t="s">
        <v>507</v>
      </c>
      <c r="E25" s="25" t="s">
        <v>494</v>
      </c>
      <c r="F25" s="25" t="s">
        <v>353</v>
      </c>
      <c r="G25" s="30" t="s">
        <v>150</v>
      </c>
      <c r="H25" s="25" t="s">
        <v>386</v>
      </c>
      <c r="I25" s="25"/>
      <c r="J25" s="62" t="s">
        <v>354</v>
      </c>
      <c r="K25" s="36" t="s">
        <v>508</v>
      </c>
    </row>
  </sheetData>
  <mergeCells count="5">
    <mergeCell ref="A4:K4"/>
    <mergeCell ref="A21:K21"/>
    <mergeCell ref="A2:K2"/>
    <mergeCell ref="A14:K14"/>
    <mergeCell ref="A1:K1"/>
  </mergeCells>
  <dataValidations count="1">
    <dataValidation type="list" allowBlank="1" sqref="G4:G300" xr:uid="{00000000-0002-0000-0400-000000000000}">
      <formula1>"⏳ TODO,🔄 IN PROGRESS,✅ DONE,🚫 BLOCKED,⏭ SKIP"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4A80"/>
  </sheetPr>
  <dimension ref="A1:K2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9" customWidth="1"/>
    <col min="3" max="3" width="28" customWidth="1"/>
    <col min="4" max="4" width="36" customWidth="1"/>
    <col min="5" max="6" width="15" customWidth="1"/>
    <col min="7" max="7" width="14" customWidth="1"/>
    <col min="8" max="9" width="13" customWidth="1"/>
    <col min="10" max="10" width="12" customWidth="1"/>
    <col min="11" max="11" width="32" customWidth="1"/>
  </cols>
  <sheetData>
    <row r="1" spans="1:11" ht="33.950000000000003" customHeight="1" x14ac:dyDescent="0.25">
      <c r="A1" s="125" t="s">
        <v>509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</row>
    <row r="2" spans="1:11" ht="15.95" customHeight="1" x14ac:dyDescent="0.25">
      <c r="A2" s="123" t="s">
        <v>510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26.1" customHeight="1" x14ac:dyDescent="0.25">
      <c r="A3" s="1" t="s">
        <v>10</v>
      </c>
      <c r="B3" s="1" t="s">
        <v>135</v>
      </c>
      <c r="C3" s="1" t="s">
        <v>318</v>
      </c>
      <c r="D3" s="1" t="s">
        <v>319</v>
      </c>
      <c r="E3" s="1" t="s">
        <v>320</v>
      </c>
      <c r="F3" s="1" t="s">
        <v>321</v>
      </c>
      <c r="G3" s="1" t="s">
        <v>140</v>
      </c>
      <c r="H3" s="1" t="s">
        <v>322</v>
      </c>
      <c r="I3" s="1" t="s">
        <v>323</v>
      </c>
      <c r="J3" s="1" t="s">
        <v>324</v>
      </c>
      <c r="K3" s="1" t="s">
        <v>325</v>
      </c>
    </row>
    <row r="4" spans="1:11" ht="21.95" customHeight="1" x14ac:dyDescent="0.25">
      <c r="A4" s="124" t="s">
        <v>511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</row>
    <row r="5" spans="1:11" ht="42" customHeight="1" x14ac:dyDescent="0.25">
      <c r="A5" s="23">
        <v>1</v>
      </c>
      <c r="B5" s="33" t="s">
        <v>512</v>
      </c>
      <c r="C5" s="34" t="s">
        <v>190</v>
      </c>
      <c r="D5" s="14" t="s">
        <v>513</v>
      </c>
      <c r="E5" s="25" t="s">
        <v>514</v>
      </c>
      <c r="F5" s="25" t="s">
        <v>339</v>
      </c>
      <c r="G5" s="30" t="s">
        <v>150</v>
      </c>
      <c r="H5" s="25" t="s">
        <v>515</v>
      </c>
      <c r="I5" s="25"/>
      <c r="J5" s="60" t="s">
        <v>334</v>
      </c>
      <c r="K5" s="36" t="s">
        <v>516</v>
      </c>
    </row>
    <row r="6" spans="1:11" ht="42" customHeight="1" x14ac:dyDescent="0.25">
      <c r="A6" s="23">
        <v>2</v>
      </c>
      <c r="B6" s="33" t="s">
        <v>517</v>
      </c>
      <c r="C6" s="34" t="s">
        <v>518</v>
      </c>
      <c r="D6" s="14" t="s">
        <v>519</v>
      </c>
      <c r="E6" s="25" t="s">
        <v>514</v>
      </c>
      <c r="F6" s="25" t="s">
        <v>353</v>
      </c>
      <c r="G6" s="30" t="s">
        <v>150</v>
      </c>
      <c r="H6" s="25" t="s">
        <v>520</v>
      </c>
      <c r="I6" s="25"/>
      <c r="J6" s="60" t="s">
        <v>334</v>
      </c>
      <c r="K6" s="36" t="s">
        <v>521</v>
      </c>
    </row>
    <row r="7" spans="1:11" ht="42" customHeight="1" x14ac:dyDescent="0.25">
      <c r="A7" s="23">
        <v>3</v>
      </c>
      <c r="B7" s="33" t="s">
        <v>522</v>
      </c>
      <c r="C7" s="34" t="s">
        <v>523</v>
      </c>
      <c r="D7" s="14" t="s">
        <v>524</v>
      </c>
      <c r="E7" s="25" t="s">
        <v>514</v>
      </c>
      <c r="F7" s="25" t="s">
        <v>353</v>
      </c>
      <c r="G7" s="30" t="s">
        <v>150</v>
      </c>
      <c r="H7" s="25" t="s">
        <v>525</v>
      </c>
      <c r="I7" s="25"/>
      <c r="J7" s="63" t="s">
        <v>345</v>
      </c>
      <c r="K7" s="36" t="s">
        <v>526</v>
      </c>
    </row>
    <row r="8" spans="1:11" ht="42" customHeight="1" x14ac:dyDescent="0.25">
      <c r="A8" s="23">
        <v>4</v>
      </c>
      <c r="B8" s="33" t="s">
        <v>527</v>
      </c>
      <c r="C8" s="34" t="s">
        <v>528</v>
      </c>
      <c r="D8" s="14" t="s">
        <v>529</v>
      </c>
      <c r="E8" s="25" t="s">
        <v>514</v>
      </c>
      <c r="F8" s="25" t="s">
        <v>353</v>
      </c>
      <c r="G8" s="30" t="s">
        <v>150</v>
      </c>
      <c r="H8" s="25" t="s">
        <v>530</v>
      </c>
      <c r="I8" s="25"/>
      <c r="J8" s="63" t="s">
        <v>345</v>
      </c>
      <c r="K8" s="36" t="s">
        <v>531</v>
      </c>
    </row>
    <row r="9" spans="1:11" ht="42" customHeight="1" x14ac:dyDescent="0.25">
      <c r="A9" s="23">
        <v>5</v>
      </c>
      <c r="B9" s="33" t="s">
        <v>532</v>
      </c>
      <c r="C9" s="34" t="s">
        <v>533</v>
      </c>
      <c r="D9" s="14" t="s">
        <v>534</v>
      </c>
      <c r="E9" s="25" t="s">
        <v>514</v>
      </c>
      <c r="F9" s="25" t="s">
        <v>353</v>
      </c>
      <c r="G9" s="30" t="s">
        <v>150</v>
      </c>
      <c r="H9" s="25" t="s">
        <v>535</v>
      </c>
      <c r="I9" s="25"/>
      <c r="J9" s="63" t="s">
        <v>345</v>
      </c>
      <c r="K9" s="36" t="s">
        <v>536</v>
      </c>
    </row>
    <row r="10" spans="1:11" ht="42" customHeight="1" x14ac:dyDescent="0.25">
      <c r="A10" s="23">
        <v>6</v>
      </c>
      <c r="B10" s="33" t="s">
        <v>537</v>
      </c>
      <c r="C10" s="34" t="s">
        <v>538</v>
      </c>
      <c r="D10" s="14" t="s">
        <v>539</v>
      </c>
      <c r="E10" s="25" t="s">
        <v>514</v>
      </c>
      <c r="F10" s="25" t="s">
        <v>540</v>
      </c>
      <c r="G10" s="30" t="s">
        <v>150</v>
      </c>
      <c r="H10" s="25" t="s">
        <v>541</v>
      </c>
      <c r="I10" s="25"/>
      <c r="J10" s="60" t="s">
        <v>334</v>
      </c>
      <c r="K10" s="36" t="s">
        <v>542</v>
      </c>
    </row>
    <row r="12" spans="1:11" ht="21.95" customHeight="1" x14ac:dyDescent="0.25">
      <c r="A12" s="124" t="s">
        <v>543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</row>
    <row r="13" spans="1:11" ht="42" customHeight="1" x14ac:dyDescent="0.25">
      <c r="A13" s="23">
        <v>7</v>
      </c>
      <c r="B13" s="33" t="s">
        <v>544</v>
      </c>
      <c r="C13" s="34" t="s">
        <v>545</v>
      </c>
      <c r="D13" s="14" t="s">
        <v>546</v>
      </c>
      <c r="E13" s="25" t="s">
        <v>547</v>
      </c>
      <c r="F13" s="25" t="s">
        <v>331</v>
      </c>
      <c r="G13" s="30" t="s">
        <v>150</v>
      </c>
      <c r="H13" s="25" t="s">
        <v>520</v>
      </c>
      <c r="I13" s="25"/>
      <c r="J13" s="60" t="s">
        <v>334</v>
      </c>
      <c r="K13" s="36" t="s">
        <v>548</v>
      </c>
    </row>
    <row r="14" spans="1:11" ht="42" customHeight="1" x14ac:dyDescent="0.25">
      <c r="A14" s="23">
        <v>8</v>
      </c>
      <c r="B14" s="33" t="s">
        <v>549</v>
      </c>
      <c r="C14" s="34" t="s">
        <v>550</v>
      </c>
      <c r="D14" s="14" t="s">
        <v>551</v>
      </c>
      <c r="E14" s="25" t="s">
        <v>547</v>
      </c>
      <c r="F14" s="25" t="s">
        <v>331</v>
      </c>
      <c r="G14" s="30" t="s">
        <v>150</v>
      </c>
      <c r="H14" s="25" t="s">
        <v>552</v>
      </c>
      <c r="I14" s="25"/>
      <c r="J14" s="60" t="s">
        <v>334</v>
      </c>
      <c r="K14" s="36" t="s">
        <v>553</v>
      </c>
    </row>
    <row r="15" spans="1:11" ht="42" customHeight="1" x14ac:dyDescent="0.25">
      <c r="A15" s="23">
        <v>9</v>
      </c>
      <c r="B15" s="33" t="s">
        <v>554</v>
      </c>
      <c r="C15" s="34" t="s">
        <v>555</v>
      </c>
      <c r="D15" s="14" t="s">
        <v>556</v>
      </c>
      <c r="E15" s="25" t="s">
        <v>547</v>
      </c>
      <c r="F15" s="25" t="s">
        <v>331</v>
      </c>
      <c r="G15" s="30" t="s">
        <v>150</v>
      </c>
      <c r="H15" s="25" t="s">
        <v>535</v>
      </c>
      <c r="I15" s="25"/>
      <c r="J15" s="60" t="s">
        <v>334</v>
      </c>
      <c r="K15" s="36" t="s">
        <v>557</v>
      </c>
    </row>
    <row r="16" spans="1:11" ht="42" customHeight="1" x14ac:dyDescent="0.25">
      <c r="A16" s="23">
        <v>10</v>
      </c>
      <c r="B16" s="33" t="s">
        <v>558</v>
      </c>
      <c r="C16" s="34" t="s">
        <v>559</v>
      </c>
      <c r="D16" s="14" t="s">
        <v>560</v>
      </c>
      <c r="E16" s="25" t="s">
        <v>547</v>
      </c>
      <c r="F16" s="25" t="s">
        <v>339</v>
      </c>
      <c r="G16" s="30" t="s">
        <v>150</v>
      </c>
      <c r="H16" s="25" t="s">
        <v>535</v>
      </c>
      <c r="I16" s="25"/>
      <c r="J16" s="63" t="s">
        <v>345</v>
      </c>
      <c r="K16" s="36" t="s">
        <v>561</v>
      </c>
    </row>
    <row r="17" spans="1:11" ht="42" customHeight="1" x14ac:dyDescent="0.25">
      <c r="A17" s="23">
        <v>11</v>
      </c>
      <c r="B17" s="33" t="s">
        <v>562</v>
      </c>
      <c r="C17" s="34" t="s">
        <v>563</v>
      </c>
      <c r="D17" s="14" t="s">
        <v>564</v>
      </c>
      <c r="E17" s="25" t="s">
        <v>547</v>
      </c>
      <c r="F17" s="25" t="s">
        <v>331</v>
      </c>
      <c r="G17" s="30" t="s">
        <v>150</v>
      </c>
      <c r="H17" s="25" t="s">
        <v>535</v>
      </c>
      <c r="I17" s="25"/>
      <c r="J17" s="60" t="s">
        <v>334</v>
      </c>
      <c r="K17" s="36" t="s">
        <v>565</v>
      </c>
    </row>
    <row r="18" spans="1:11" ht="42" customHeight="1" x14ac:dyDescent="0.25">
      <c r="A18" s="23">
        <v>12</v>
      </c>
      <c r="B18" s="33" t="s">
        <v>566</v>
      </c>
      <c r="C18" s="34" t="s">
        <v>567</v>
      </c>
      <c r="D18" s="14" t="s">
        <v>568</v>
      </c>
      <c r="E18" s="25" t="s">
        <v>547</v>
      </c>
      <c r="F18" s="25" t="s">
        <v>339</v>
      </c>
      <c r="G18" s="30" t="s">
        <v>150</v>
      </c>
      <c r="H18" s="25" t="s">
        <v>541</v>
      </c>
      <c r="I18" s="25"/>
      <c r="J18" s="60" t="s">
        <v>334</v>
      </c>
      <c r="K18" s="36" t="s">
        <v>569</v>
      </c>
    </row>
    <row r="20" spans="1:11" ht="21.95" customHeight="1" x14ac:dyDescent="0.25">
      <c r="A20" s="124" t="s">
        <v>570</v>
      </c>
      <c r="B20" s="122"/>
      <c r="C20" s="122"/>
      <c r="D20" s="122"/>
      <c r="E20" s="122"/>
      <c r="F20" s="122"/>
      <c r="G20" s="122"/>
      <c r="H20" s="122"/>
      <c r="I20" s="122"/>
      <c r="J20" s="122"/>
      <c r="K20" s="122"/>
    </row>
    <row r="21" spans="1:11" ht="42" customHeight="1" x14ac:dyDescent="0.25">
      <c r="A21" s="23">
        <v>13</v>
      </c>
      <c r="B21" s="33" t="s">
        <v>571</v>
      </c>
      <c r="C21" s="34" t="s">
        <v>572</v>
      </c>
      <c r="D21" s="14" t="s">
        <v>573</v>
      </c>
      <c r="E21" s="25" t="s">
        <v>574</v>
      </c>
      <c r="F21" s="25" t="s">
        <v>540</v>
      </c>
      <c r="G21" s="30" t="s">
        <v>150</v>
      </c>
      <c r="H21" s="25" t="s">
        <v>535</v>
      </c>
      <c r="I21" s="25"/>
      <c r="J21" s="63" t="s">
        <v>345</v>
      </c>
      <c r="K21" s="36" t="s">
        <v>575</v>
      </c>
    </row>
    <row r="22" spans="1:11" ht="42" customHeight="1" x14ac:dyDescent="0.25">
      <c r="A22" s="23">
        <v>14</v>
      </c>
      <c r="B22" s="33" t="s">
        <v>576</v>
      </c>
      <c r="C22" s="34" t="s">
        <v>577</v>
      </c>
      <c r="D22" s="14" t="s">
        <v>578</v>
      </c>
      <c r="E22" s="25" t="s">
        <v>574</v>
      </c>
      <c r="F22" s="25" t="s">
        <v>331</v>
      </c>
      <c r="G22" s="30" t="s">
        <v>150</v>
      </c>
      <c r="H22" s="25" t="s">
        <v>535</v>
      </c>
      <c r="I22" s="25"/>
      <c r="J22" s="63" t="s">
        <v>345</v>
      </c>
      <c r="K22" s="36" t="s">
        <v>579</v>
      </c>
    </row>
    <row r="23" spans="1:11" ht="42" customHeight="1" x14ac:dyDescent="0.25">
      <c r="A23" s="23">
        <v>15</v>
      </c>
      <c r="B23" s="33" t="s">
        <v>580</v>
      </c>
      <c r="C23" s="34" t="s">
        <v>581</v>
      </c>
      <c r="D23" s="14" t="s">
        <v>582</v>
      </c>
      <c r="E23" s="25" t="s">
        <v>583</v>
      </c>
      <c r="F23" s="25" t="s">
        <v>331</v>
      </c>
      <c r="G23" s="30" t="s">
        <v>150</v>
      </c>
      <c r="H23" s="25" t="s">
        <v>87</v>
      </c>
      <c r="I23" s="25"/>
      <c r="J23" s="62" t="s">
        <v>354</v>
      </c>
      <c r="K23" s="36" t="s">
        <v>584</v>
      </c>
    </row>
  </sheetData>
  <mergeCells count="5">
    <mergeCell ref="A12:K12"/>
    <mergeCell ref="A4:K4"/>
    <mergeCell ref="A20:K20"/>
    <mergeCell ref="A2:K2"/>
    <mergeCell ref="A1:K1"/>
  </mergeCells>
  <dataValidations count="1">
    <dataValidation type="list" allowBlank="1" sqref="G4:G300" xr:uid="{00000000-0002-0000-0500-000000000000}">
      <formula1>"⏳ TODO,🔄 IN PROGRESS,✅ DONE,🚫 BLOCKED,⏭ SKIP"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6B3A"/>
  </sheetPr>
  <dimension ref="A1:K2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9" customWidth="1"/>
    <col min="3" max="3" width="28" customWidth="1"/>
    <col min="4" max="4" width="36" customWidth="1"/>
    <col min="5" max="6" width="15" customWidth="1"/>
    <col min="7" max="7" width="14" customWidth="1"/>
    <col min="8" max="9" width="13" customWidth="1"/>
    <col min="10" max="10" width="12" customWidth="1"/>
    <col min="11" max="11" width="32" customWidth="1"/>
  </cols>
  <sheetData>
    <row r="1" spans="1:11" ht="33.950000000000003" customHeight="1" x14ac:dyDescent="0.25">
      <c r="A1" s="125" t="s">
        <v>585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</row>
    <row r="2" spans="1:11" ht="15.95" customHeight="1" x14ac:dyDescent="0.25">
      <c r="A2" s="123" t="s">
        <v>586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26.1" customHeight="1" x14ac:dyDescent="0.25">
      <c r="A3" s="1" t="s">
        <v>10</v>
      </c>
      <c r="B3" s="1" t="s">
        <v>135</v>
      </c>
      <c r="C3" s="1" t="s">
        <v>318</v>
      </c>
      <c r="D3" s="1" t="s">
        <v>319</v>
      </c>
      <c r="E3" s="1" t="s">
        <v>320</v>
      </c>
      <c r="F3" s="1" t="s">
        <v>321</v>
      </c>
      <c r="G3" s="1" t="s">
        <v>140</v>
      </c>
      <c r="H3" s="1" t="s">
        <v>322</v>
      </c>
      <c r="I3" s="1" t="s">
        <v>323</v>
      </c>
      <c r="J3" s="1" t="s">
        <v>324</v>
      </c>
      <c r="K3" s="1" t="s">
        <v>325</v>
      </c>
    </row>
    <row r="4" spans="1:11" ht="21.95" customHeight="1" x14ac:dyDescent="0.25">
      <c r="A4" s="124" t="s">
        <v>587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</row>
    <row r="5" spans="1:11" ht="42" customHeight="1" x14ac:dyDescent="0.25">
      <c r="A5" s="23">
        <v>1</v>
      </c>
      <c r="B5" s="33" t="s">
        <v>588</v>
      </c>
      <c r="C5" s="34" t="s">
        <v>589</v>
      </c>
      <c r="D5" s="14" t="s">
        <v>590</v>
      </c>
      <c r="E5" s="25" t="s">
        <v>591</v>
      </c>
      <c r="F5" s="25" t="s">
        <v>476</v>
      </c>
      <c r="G5" s="30" t="s">
        <v>150</v>
      </c>
      <c r="H5" s="25" t="s">
        <v>592</v>
      </c>
      <c r="I5" s="25"/>
      <c r="J5" s="60" t="s">
        <v>334</v>
      </c>
      <c r="K5" s="36" t="s">
        <v>593</v>
      </c>
    </row>
    <row r="6" spans="1:11" ht="42" customHeight="1" x14ac:dyDescent="0.25">
      <c r="A6" s="23">
        <v>2</v>
      </c>
      <c r="B6" s="33" t="s">
        <v>594</v>
      </c>
      <c r="C6" s="34" t="s">
        <v>595</v>
      </c>
      <c r="D6" s="14" t="s">
        <v>596</v>
      </c>
      <c r="E6" s="25" t="s">
        <v>591</v>
      </c>
      <c r="F6" s="25" t="s">
        <v>331</v>
      </c>
      <c r="G6" s="30" t="s">
        <v>150</v>
      </c>
      <c r="H6" s="25" t="s">
        <v>597</v>
      </c>
      <c r="I6" s="25"/>
      <c r="J6" s="60" t="s">
        <v>334</v>
      </c>
      <c r="K6" s="36" t="s">
        <v>598</v>
      </c>
    </row>
    <row r="7" spans="1:11" ht="42" customHeight="1" x14ac:dyDescent="0.25">
      <c r="A7" s="23">
        <v>3</v>
      </c>
      <c r="B7" s="33" t="s">
        <v>599</v>
      </c>
      <c r="C7" s="34" t="s">
        <v>600</v>
      </c>
      <c r="D7" s="14" t="s">
        <v>601</v>
      </c>
      <c r="E7" s="25" t="s">
        <v>591</v>
      </c>
      <c r="F7" s="25" t="s">
        <v>353</v>
      </c>
      <c r="G7" s="30" t="s">
        <v>150</v>
      </c>
      <c r="H7" s="25" t="s">
        <v>592</v>
      </c>
      <c r="I7" s="25"/>
      <c r="J7" s="60" t="s">
        <v>334</v>
      </c>
      <c r="K7" s="36"/>
    </row>
    <row r="8" spans="1:11" ht="42" customHeight="1" x14ac:dyDescent="0.25">
      <c r="A8" s="23">
        <v>4</v>
      </c>
      <c r="B8" s="33" t="s">
        <v>602</v>
      </c>
      <c r="C8" s="34" t="s">
        <v>603</v>
      </c>
      <c r="D8" s="14" t="s">
        <v>604</v>
      </c>
      <c r="E8" s="25" t="s">
        <v>591</v>
      </c>
      <c r="F8" s="25" t="s">
        <v>331</v>
      </c>
      <c r="G8" s="30" t="s">
        <v>150</v>
      </c>
      <c r="H8" s="25" t="s">
        <v>605</v>
      </c>
      <c r="I8" s="25"/>
      <c r="J8" s="60" t="s">
        <v>334</v>
      </c>
      <c r="K8" s="36" t="s">
        <v>606</v>
      </c>
    </row>
    <row r="9" spans="1:11" ht="42" customHeight="1" x14ac:dyDescent="0.25">
      <c r="A9" s="23">
        <v>5</v>
      </c>
      <c r="B9" s="33" t="s">
        <v>607</v>
      </c>
      <c r="C9" s="34" t="s">
        <v>608</v>
      </c>
      <c r="D9" s="14" t="s">
        <v>609</v>
      </c>
      <c r="E9" s="25" t="s">
        <v>591</v>
      </c>
      <c r="F9" s="25" t="s">
        <v>339</v>
      </c>
      <c r="G9" s="30" t="s">
        <v>150</v>
      </c>
      <c r="H9" s="25" t="s">
        <v>610</v>
      </c>
      <c r="I9" s="25"/>
      <c r="J9" s="63" t="s">
        <v>345</v>
      </c>
      <c r="K9" s="36"/>
    </row>
    <row r="11" spans="1:11" ht="21.95" customHeight="1" x14ac:dyDescent="0.25">
      <c r="A11" s="124" t="s">
        <v>611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</row>
    <row r="12" spans="1:11" ht="42" customHeight="1" x14ac:dyDescent="0.25">
      <c r="A12" s="23">
        <v>6</v>
      </c>
      <c r="B12" s="33" t="s">
        <v>612</v>
      </c>
      <c r="C12" s="34" t="s">
        <v>613</v>
      </c>
      <c r="D12" s="14" t="s">
        <v>614</v>
      </c>
      <c r="E12" s="25" t="s">
        <v>591</v>
      </c>
      <c r="F12" s="25" t="s">
        <v>353</v>
      </c>
      <c r="G12" s="30" t="s">
        <v>150</v>
      </c>
      <c r="H12" s="25" t="s">
        <v>535</v>
      </c>
      <c r="I12" s="25"/>
      <c r="J12" s="63" t="s">
        <v>345</v>
      </c>
      <c r="K12" s="36" t="s">
        <v>615</v>
      </c>
    </row>
    <row r="13" spans="1:11" ht="42" customHeight="1" x14ac:dyDescent="0.25">
      <c r="A13" s="23">
        <v>7</v>
      </c>
      <c r="B13" s="33" t="s">
        <v>616</v>
      </c>
      <c r="C13" s="34" t="s">
        <v>617</v>
      </c>
      <c r="D13" s="14" t="s">
        <v>618</v>
      </c>
      <c r="E13" s="25" t="s">
        <v>591</v>
      </c>
      <c r="F13" s="25" t="s">
        <v>353</v>
      </c>
      <c r="G13" s="30" t="s">
        <v>150</v>
      </c>
      <c r="H13" s="25" t="s">
        <v>535</v>
      </c>
      <c r="I13" s="25"/>
      <c r="J13" s="60" t="s">
        <v>334</v>
      </c>
      <c r="K13" s="36" t="s">
        <v>619</v>
      </c>
    </row>
    <row r="14" spans="1:11" ht="42" customHeight="1" x14ac:dyDescent="0.25">
      <c r="A14" s="23">
        <v>8</v>
      </c>
      <c r="B14" s="33" t="s">
        <v>620</v>
      </c>
      <c r="C14" s="34" t="s">
        <v>621</v>
      </c>
      <c r="D14" s="14" t="s">
        <v>622</v>
      </c>
      <c r="E14" s="25" t="s">
        <v>591</v>
      </c>
      <c r="F14" s="25" t="s">
        <v>540</v>
      </c>
      <c r="G14" s="30" t="s">
        <v>150</v>
      </c>
      <c r="H14" s="25" t="s">
        <v>623</v>
      </c>
      <c r="I14" s="25"/>
      <c r="J14" s="60" t="s">
        <v>334</v>
      </c>
      <c r="K14" s="36" t="s">
        <v>624</v>
      </c>
    </row>
    <row r="15" spans="1:11" ht="42" customHeight="1" x14ac:dyDescent="0.25">
      <c r="A15" s="23">
        <v>9</v>
      </c>
      <c r="B15" s="33" t="s">
        <v>625</v>
      </c>
      <c r="C15" s="34" t="s">
        <v>626</v>
      </c>
      <c r="D15" s="14" t="s">
        <v>627</v>
      </c>
      <c r="E15" s="25" t="s">
        <v>591</v>
      </c>
      <c r="F15" s="25" t="s">
        <v>339</v>
      </c>
      <c r="G15" s="30" t="s">
        <v>150</v>
      </c>
      <c r="H15" s="25" t="s">
        <v>92</v>
      </c>
      <c r="I15" s="25"/>
      <c r="J15" s="60" t="s">
        <v>334</v>
      </c>
      <c r="K15" s="36" t="s">
        <v>628</v>
      </c>
    </row>
    <row r="17" spans="1:11" ht="21.95" customHeight="1" x14ac:dyDescent="0.25">
      <c r="A17" s="124" t="s">
        <v>629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</row>
    <row r="18" spans="1:11" ht="42" customHeight="1" x14ac:dyDescent="0.25">
      <c r="A18" s="23">
        <v>10</v>
      </c>
      <c r="B18" s="33" t="s">
        <v>630</v>
      </c>
      <c r="C18" s="34" t="s">
        <v>631</v>
      </c>
      <c r="D18" s="14" t="s">
        <v>632</v>
      </c>
      <c r="E18" s="25" t="s">
        <v>574</v>
      </c>
      <c r="F18" s="25" t="s">
        <v>331</v>
      </c>
      <c r="G18" s="30" t="s">
        <v>150</v>
      </c>
      <c r="H18" s="25" t="s">
        <v>633</v>
      </c>
      <c r="I18" s="25"/>
      <c r="J18" s="60" t="s">
        <v>334</v>
      </c>
      <c r="K18" s="36" t="s">
        <v>634</v>
      </c>
    </row>
    <row r="19" spans="1:11" ht="42" customHeight="1" x14ac:dyDescent="0.25">
      <c r="A19" s="23">
        <v>11</v>
      </c>
      <c r="B19" s="33" t="s">
        <v>635</v>
      </c>
      <c r="C19" s="34" t="s">
        <v>636</v>
      </c>
      <c r="D19" s="14" t="s">
        <v>637</v>
      </c>
      <c r="E19" s="25" t="s">
        <v>574</v>
      </c>
      <c r="F19" s="25" t="s">
        <v>353</v>
      </c>
      <c r="G19" s="30" t="s">
        <v>150</v>
      </c>
      <c r="H19" s="25" t="s">
        <v>92</v>
      </c>
      <c r="I19" s="25"/>
      <c r="J19" s="63" t="s">
        <v>345</v>
      </c>
      <c r="K19" s="36" t="s">
        <v>638</v>
      </c>
    </row>
    <row r="20" spans="1:11" ht="42" customHeight="1" x14ac:dyDescent="0.25">
      <c r="A20" s="23">
        <v>12</v>
      </c>
      <c r="B20" s="33" t="s">
        <v>639</v>
      </c>
      <c r="C20" s="34" t="s">
        <v>640</v>
      </c>
      <c r="D20" s="14" t="s">
        <v>641</v>
      </c>
      <c r="E20" s="25" t="s">
        <v>642</v>
      </c>
      <c r="F20" s="25" t="s">
        <v>331</v>
      </c>
      <c r="G20" s="30" t="s">
        <v>150</v>
      </c>
      <c r="H20" s="25" t="s">
        <v>92</v>
      </c>
      <c r="I20" s="25"/>
      <c r="J20" s="63" t="s">
        <v>345</v>
      </c>
      <c r="K20" s="36" t="s">
        <v>643</v>
      </c>
    </row>
  </sheetData>
  <mergeCells count="5">
    <mergeCell ref="A4:K4"/>
    <mergeCell ref="A2:K2"/>
    <mergeCell ref="A11:K11"/>
    <mergeCell ref="A1:K1"/>
    <mergeCell ref="A17:K17"/>
  </mergeCells>
  <dataValidations count="1">
    <dataValidation type="list" allowBlank="1" sqref="G4:G300" xr:uid="{00000000-0002-0000-0600-000000000000}">
      <formula1>"⏳ TODO,🔄 IN PROGRESS,✅ DONE,🚫 BLOCKED,⏭ SKIP"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A3D62"/>
  </sheetPr>
  <dimension ref="A1:K2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9" customWidth="1"/>
    <col min="3" max="3" width="28" customWidth="1"/>
    <col min="4" max="4" width="36" customWidth="1"/>
    <col min="5" max="6" width="15" customWidth="1"/>
    <col min="7" max="7" width="14" customWidth="1"/>
    <col min="8" max="9" width="13" customWidth="1"/>
    <col min="10" max="10" width="12" customWidth="1"/>
    <col min="11" max="11" width="32" customWidth="1"/>
  </cols>
  <sheetData>
    <row r="1" spans="1:11" ht="33.950000000000003" customHeight="1" x14ac:dyDescent="0.25">
      <c r="A1" s="125" t="s">
        <v>644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</row>
    <row r="2" spans="1:11" ht="15.95" customHeight="1" x14ac:dyDescent="0.25">
      <c r="A2" s="123" t="s">
        <v>645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26.1" customHeight="1" x14ac:dyDescent="0.25">
      <c r="A3" s="1" t="s">
        <v>10</v>
      </c>
      <c r="B3" s="1" t="s">
        <v>135</v>
      </c>
      <c r="C3" s="1" t="s">
        <v>318</v>
      </c>
      <c r="D3" s="1" t="s">
        <v>319</v>
      </c>
      <c r="E3" s="1" t="s">
        <v>320</v>
      </c>
      <c r="F3" s="1" t="s">
        <v>321</v>
      </c>
      <c r="G3" s="1" t="s">
        <v>140</v>
      </c>
      <c r="H3" s="1" t="s">
        <v>322</v>
      </c>
      <c r="I3" s="1" t="s">
        <v>323</v>
      </c>
      <c r="J3" s="1" t="s">
        <v>324</v>
      </c>
      <c r="K3" s="1" t="s">
        <v>325</v>
      </c>
    </row>
    <row r="4" spans="1:11" ht="21.95" customHeight="1" x14ac:dyDescent="0.25">
      <c r="A4" s="124" t="s">
        <v>646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</row>
    <row r="5" spans="1:11" ht="42" customHeight="1" x14ac:dyDescent="0.25">
      <c r="A5" s="23">
        <v>1</v>
      </c>
      <c r="B5" s="33" t="s">
        <v>647</v>
      </c>
      <c r="C5" s="34" t="s">
        <v>648</v>
      </c>
      <c r="D5" s="14" t="s">
        <v>649</v>
      </c>
      <c r="E5" s="25" t="s">
        <v>650</v>
      </c>
      <c r="F5" s="25" t="s">
        <v>651</v>
      </c>
      <c r="G5" s="30" t="s">
        <v>150</v>
      </c>
      <c r="H5" s="25" t="s">
        <v>592</v>
      </c>
      <c r="I5" s="25"/>
      <c r="J5" s="60" t="s">
        <v>334</v>
      </c>
      <c r="K5" s="36" t="s">
        <v>652</v>
      </c>
    </row>
    <row r="6" spans="1:11" ht="42" customHeight="1" x14ac:dyDescent="0.25">
      <c r="A6" s="23">
        <v>2</v>
      </c>
      <c r="B6" s="33" t="s">
        <v>653</v>
      </c>
      <c r="C6" s="34" t="s">
        <v>654</v>
      </c>
      <c r="D6" s="14" t="s">
        <v>655</v>
      </c>
      <c r="E6" s="25" t="s">
        <v>650</v>
      </c>
      <c r="F6" s="25" t="s">
        <v>656</v>
      </c>
      <c r="G6" s="30" t="s">
        <v>150</v>
      </c>
      <c r="H6" s="25" t="s">
        <v>657</v>
      </c>
      <c r="I6" s="25"/>
      <c r="J6" s="60" t="s">
        <v>334</v>
      </c>
      <c r="K6" s="36" t="s">
        <v>658</v>
      </c>
    </row>
    <row r="7" spans="1:11" ht="42" customHeight="1" x14ac:dyDescent="0.25">
      <c r="A7" s="23">
        <v>3</v>
      </c>
      <c r="B7" s="33" t="s">
        <v>659</v>
      </c>
      <c r="C7" s="34" t="s">
        <v>660</v>
      </c>
      <c r="D7" s="14" t="s">
        <v>661</v>
      </c>
      <c r="E7" s="25" t="s">
        <v>650</v>
      </c>
      <c r="F7" s="25" t="s">
        <v>656</v>
      </c>
      <c r="G7" s="30" t="s">
        <v>150</v>
      </c>
      <c r="H7" s="25" t="s">
        <v>662</v>
      </c>
      <c r="I7" s="25"/>
      <c r="J7" s="60" t="s">
        <v>334</v>
      </c>
      <c r="K7" s="36" t="s">
        <v>663</v>
      </c>
    </row>
    <row r="8" spans="1:11" ht="42" customHeight="1" x14ac:dyDescent="0.25">
      <c r="A8" s="23">
        <v>4</v>
      </c>
      <c r="B8" s="33" t="s">
        <v>664</v>
      </c>
      <c r="C8" s="34" t="s">
        <v>665</v>
      </c>
      <c r="D8" s="14" t="s">
        <v>666</v>
      </c>
      <c r="E8" s="25" t="s">
        <v>650</v>
      </c>
      <c r="F8" s="25" t="s">
        <v>656</v>
      </c>
      <c r="G8" s="30" t="s">
        <v>150</v>
      </c>
      <c r="H8" s="25" t="s">
        <v>662</v>
      </c>
      <c r="I8" s="25"/>
      <c r="J8" s="63" t="s">
        <v>345</v>
      </c>
      <c r="K8" s="36" t="s">
        <v>667</v>
      </c>
    </row>
    <row r="9" spans="1:11" ht="42" customHeight="1" x14ac:dyDescent="0.25">
      <c r="A9" s="23">
        <v>5</v>
      </c>
      <c r="B9" s="33" t="s">
        <v>668</v>
      </c>
      <c r="C9" s="34" t="s">
        <v>669</v>
      </c>
      <c r="D9" s="14" t="s">
        <v>670</v>
      </c>
      <c r="E9" s="25" t="s">
        <v>650</v>
      </c>
      <c r="F9" s="25" t="s">
        <v>671</v>
      </c>
      <c r="G9" s="30" t="s">
        <v>150</v>
      </c>
      <c r="H9" s="25" t="s">
        <v>623</v>
      </c>
      <c r="I9" s="25"/>
      <c r="J9" s="63" t="s">
        <v>345</v>
      </c>
      <c r="K9" s="36" t="s">
        <v>672</v>
      </c>
    </row>
    <row r="10" spans="1:11" ht="42" customHeight="1" x14ac:dyDescent="0.25">
      <c r="A10" s="23">
        <v>6</v>
      </c>
      <c r="B10" s="33" t="s">
        <v>673</v>
      </c>
      <c r="C10" s="34" t="s">
        <v>674</v>
      </c>
      <c r="D10" s="14" t="s">
        <v>675</v>
      </c>
      <c r="E10" s="25" t="s">
        <v>650</v>
      </c>
      <c r="F10" s="25" t="s">
        <v>676</v>
      </c>
      <c r="G10" s="30" t="s">
        <v>150</v>
      </c>
      <c r="H10" s="25" t="s">
        <v>677</v>
      </c>
      <c r="I10" s="25"/>
      <c r="J10" s="60" t="s">
        <v>334</v>
      </c>
      <c r="K10" s="36" t="s">
        <v>678</v>
      </c>
    </row>
    <row r="12" spans="1:11" ht="21.95" customHeight="1" x14ac:dyDescent="0.25">
      <c r="A12" s="124" t="s">
        <v>679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</row>
    <row r="13" spans="1:11" ht="42" customHeight="1" x14ac:dyDescent="0.25">
      <c r="A13" s="23">
        <v>7</v>
      </c>
      <c r="B13" s="33" t="s">
        <v>680</v>
      </c>
      <c r="C13" s="34" t="s">
        <v>681</v>
      </c>
      <c r="D13" s="14" t="s">
        <v>682</v>
      </c>
      <c r="E13" s="25" t="s">
        <v>683</v>
      </c>
      <c r="F13" s="25" t="s">
        <v>671</v>
      </c>
      <c r="G13" s="30" t="s">
        <v>150</v>
      </c>
      <c r="H13" s="25" t="s">
        <v>657</v>
      </c>
      <c r="I13" s="25"/>
      <c r="J13" s="60" t="s">
        <v>334</v>
      </c>
      <c r="K13" s="36" t="s">
        <v>684</v>
      </c>
    </row>
    <row r="14" spans="1:11" ht="42" customHeight="1" x14ac:dyDescent="0.25">
      <c r="A14" s="23">
        <v>8</v>
      </c>
      <c r="B14" s="33" t="s">
        <v>685</v>
      </c>
      <c r="C14" s="34" t="s">
        <v>686</v>
      </c>
      <c r="D14" s="14" t="s">
        <v>687</v>
      </c>
      <c r="E14" s="25" t="s">
        <v>683</v>
      </c>
      <c r="F14" s="25" t="s">
        <v>656</v>
      </c>
      <c r="G14" s="30" t="s">
        <v>150</v>
      </c>
      <c r="H14" s="25" t="s">
        <v>662</v>
      </c>
      <c r="I14" s="25"/>
      <c r="J14" s="60" t="s">
        <v>334</v>
      </c>
      <c r="K14" s="36" t="s">
        <v>688</v>
      </c>
    </row>
    <row r="15" spans="1:11" ht="42" customHeight="1" x14ac:dyDescent="0.25">
      <c r="A15" s="23">
        <v>9</v>
      </c>
      <c r="B15" s="33" t="s">
        <v>689</v>
      </c>
      <c r="C15" s="34" t="s">
        <v>690</v>
      </c>
      <c r="D15" s="14" t="s">
        <v>691</v>
      </c>
      <c r="E15" s="25" t="s">
        <v>683</v>
      </c>
      <c r="F15" s="25" t="s">
        <v>656</v>
      </c>
      <c r="G15" s="30" t="s">
        <v>150</v>
      </c>
      <c r="H15" s="25" t="s">
        <v>623</v>
      </c>
      <c r="I15" s="25"/>
      <c r="J15" s="63" t="s">
        <v>345</v>
      </c>
      <c r="K15" s="36" t="s">
        <v>692</v>
      </c>
    </row>
    <row r="16" spans="1:11" ht="42" customHeight="1" x14ac:dyDescent="0.25">
      <c r="A16" s="23">
        <v>10</v>
      </c>
      <c r="B16" s="33" t="s">
        <v>693</v>
      </c>
      <c r="C16" s="34" t="s">
        <v>694</v>
      </c>
      <c r="D16" s="14" t="s">
        <v>695</v>
      </c>
      <c r="E16" s="25" t="s">
        <v>683</v>
      </c>
      <c r="F16" s="25" t="s">
        <v>671</v>
      </c>
      <c r="G16" s="30" t="s">
        <v>150</v>
      </c>
      <c r="H16" s="25" t="s">
        <v>677</v>
      </c>
      <c r="I16" s="25"/>
      <c r="J16" s="60" t="s">
        <v>334</v>
      </c>
      <c r="K16" s="36" t="s">
        <v>696</v>
      </c>
    </row>
    <row r="18" spans="1:11" ht="21.95" customHeight="1" x14ac:dyDescent="0.25">
      <c r="A18" s="124" t="s">
        <v>697</v>
      </c>
      <c r="B18" s="122"/>
      <c r="C18" s="122"/>
      <c r="D18" s="122"/>
      <c r="E18" s="122"/>
      <c r="F18" s="122"/>
      <c r="G18" s="122"/>
      <c r="H18" s="122"/>
      <c r="I18" s="122"/>
      <c r="J18" s="122"/>
      <c r="K18" s="122"/>
    </row>
    <row r="19" spans="1:11" ht="42" customHeight="1" x14ac:dyDescent="0.25">
      <c r="A19" s="23">
        <v>11</v>
      </c>
      <c r="B19" s="33" t="s">
        <v>698</v>
      </c>
      <c r="C19" s="34" t="s">
        <v>699</v>
      </c>
      <c r="D19" s="14" t="s">
        <v>700</v>
      </c>
      <c r="E19" s="25" t="s">
        <v>701</v>
      </c>
      <c r="F19" s="25" t="s">
        <v>656</v>
      </c>
      <c r="G19" s="30" t="s">
        <v>150</v>
      </c>
      <c r="H19" s="25" t="s">
        <v>677</v>
      </c>
      <c r="I19" s="25"/>
      <c r="J19" s="63" t="s">
        <v>345</v>
      </c>
      <c r="K19" s="36" t="s">
        <v>702</v>
      </c>
    </row>
    <row r="20" spans="1:11" ht="42" customHeight="1" x14ac:dyDescent="0.25">
      <c r="A20" s="23">
        <v>12</v>
      </c>
      <c r="B20" s="33" t="s">
        <v>703</v>
      </c>
      <c r="C20" s="34" t="s">
        <v>704</v>
      </c>
      <c r="D20" s="14" t="s">
        <v>705</v>
      </c>
      <c r="E20" s="25" t="s">
        <v>706</v>
      </c>
      <c r="F20" s="25" t="s">
        <v>656</v>
      </c>
      <c r="G20" s="30" t="s">
        <v>150</v>
      </c>
      <c r="H20" s="25" t="s">
        <v>592</v>
      </c>
      <c r="I20" s="25"/>
      <c r="J20" s="60" t="s">
        <v>334</v>
      </c>
      <c r="K20" s="36" t="s">
        <v>707</v>
      </c>
    </row>
    <row r="21" spans="1:11" ht="42" customHeight="1" x14ac:dyDescent="0.25">
      <c r="A21" s="23">
        <v>13</v>
      </c>
      <c r="B21" s="33" t="s">
        <v>708</v>
      </c>
      <c r="C21" s="34" t="s">
        <v>709</v>
      </c>
      <c r="D21" s="14" t="s">
        <v>710</v>
      </c>
      <c r="E21" s="25" t="s">
        <v>711</v>
      </c>
      <c r="F21" s="25" t="s">
        <v>712</v>
      </c>
      <c r="G21" s="30" t="s">
        <v>150</v>
      </c>
      <c r="H21" s="25" t="s">
        <v>96</v>
      </c>
      <c r="I21" s="25"/>
      <c r="J21" s="60" t="s">
        <v>334</v>
      </c>
      <c r="K21" s="36" t="s">
        <v>713</v>
      </c>
    </row>
  </sheetData>
  <mergeCells count="5">
    <mergeCell ref="A12:K12"/>
    <mergeCell ref="A4:K4"/>
    <mergeCell ref="A18:K18"/>
    <mergeCell ref="A2:K2"/>
    <mergeCell ref="A1:K1"/>
  </mergeCells>
  <dataValidations count="1">
    <dataValidation type="list" allowBlank="1" sqref="G4:G300" xr:uid="{00000000-0002-0000-0700-000000000000}">
      <formula1>"⏳ TODO,🔄 IN PROGRESS,✅ DONE,🚫 BLOCKED,⏭ SKIP"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C3483"/>
  </sheetPr>
  <dimension ref="A1:K1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9" customWidth="1"/>
    <col min="3" max="3" width="28" customWidth="1"/>
    <col min="4" max="4" width="36" customWidth="1"/>
    <col min="5" max="6" width="15" customWidth="1"/>
    <col min="7" max="7" width="14" customWidth="1"/>
    <col min="8" max="9" width="13" customWidth="1"/>
    <col min="10" max="10" width="12" customWidth="1"/>
    <col min="11" max="11" width="32" customWidth="1"/>
  </cols>
  <sheetData>
    <row r="1" spans="1:11" ht="33.950000000000003" customHeight="1" x14ac:dyDescent="0.25">
      <c r="A1" s="125" t="s">
        <v>714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</row>
    <row r="2" spans="1:11" ht="15.95" customHeight="1" x14ac:dyDescent="0.25">
      <c r="A2" s="123" t="s">
        <v>715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26.1" customHeight="1" x14ac:dyDescent="0.25">
      <c r="A3" s="1" t="s">
        <v>10</v>
      </c>
      <c r="B3" s="1" t="s">
        <v>135</v>
      </c>
      <c r="C3" s="1" t="s">
        <v>318</v>
      </c>
      <c r="D3" s="1" t="s">
        <v>319</v>
      </c>
      <c r="E3" s="1" t="s">
        <v>320</v>
      </c>
      <c r="F3" s="1" t="s">
        <v>321</v>
      </c>
      <c r="G3" s="1" t="s">
        <v>140</v>
      </c>
      <c r="H3" s="1" t="s">
        <v>322</v>
      </c>
      <c r="I3" s="1" t="s">
        <v>323</v>
      </c>
      <c r="J3" s="1" t="s">
        <v>324</v>
      </c>
      <c r="K3" s="1" t="s">
        <v>325</v>
      </c>
    </row>
    <row r="4" spans="1:11" ht="21.95" customHeight="1" x14ac:dyDescent="0.25">
      <c r="A4" s="124" t="s">
        <v>716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</row>
    <row r="5" spans="1:11" ht="42" customHeight="1" x14ac:dyDescent="0.25">
      <c r="A5" s="23">
        <v>1</v>
      </c>
      <c r="B5" s="33" t="s">
        <v>717</v>
      </c>
      <c r="C5" s="34" t="s">
        <v>718</v>
      </c>
      <c r="D5" s="14" t="s">
        <v>719</v>
      </c>
      <c r="E5" s="25" t="s">
        <v>720</v>
      </c>
      <c r="F5" s="25" t="s">
        <v>331</v>
      </c>
      <c r="G5" s="30" t="s">
        <v>150</v>
      </c>
      <c r="H5" s="25" t="s">
        <v>721</v>
      </c>
      <c r="I5" s="25"/>
      <c r="J5" s="60" t="s">
        <v>334</v>
      </c>
      <c r="K5" s="36" t="s">
        <v>722</v>
      </c>
    </row>
    <row r="6" spans="1:11" ht="42" customHeight="1" x14ac:dyDescent="0.25">
      <c r="A6" s="23">
        <v>2</v>
      </c>
      <c r="B6" s="33" t="s">
        <v>723</v>
      </c>
      <c r="C6" s="34" t="s">
        <v>724</v>
      </c>
      <c r="D6" s="14" t="s">
        <v>725</v>
      </c>
      <c r="E6" s="25" t="s">
        <v>514</v>
      </c>
      <c r="F6" s="25" t="s">
        <v>726</v>
      </c>
      <c r="G6" s="30" t="s">
        <v>150</v>
      </c>
      <c r="H6" s="25" t="s">
        <v>727</v>
      </c>
      <c r="I6" s="25"/>
      <c r="J6" s="63" t="s">
        <v>345</v>
      </c>
      <c r="K6" s="36"/>
    </row>
    <row r="7" spans="1:11" ht="42" customHeight="1" x14ac:dyDescent="0.25">
      <c r="A7" s="23">
        <v>3</v>
      </c>
      <c r="B7" s="33" t="s">
        <v>728</v>
      </c>
      <c r="C7" s="34" t="s">
        <v>729</v>
      </c>
      <c r="D7" s="14" t="s">
        <v>730</v>
      </c>
      <c r="E7" s="25" t="s">
        <v>731</v>
      </c>
      <c r="F7" s="25" t="s">
        <v>671</v>
      </c>
      <c r="G7" s="30" t="s">
        <v>150</v>
      </c>
      <c r="H7" s="25" t="s">
        <v>727</v>
      </c>
      <c r="I7" s="25"/>
      <c r="J7" s="63" t="s">
        <v>345</v>
      </c>
      <c r="K7" s="36" t="s">
        <v>732</v>
      </c>
    </row>
    <row r="8" spans="1:11" ht="42" customHeight="1" x14ac:dyDescent="0.25">
      <c r="A8" s="23">
        <v>4</v>
      </c>
      <c r="B8" s="33" t="s">
        <v>733</v>
      </c>
      <c r="C8" s="34" t="s">
        <v>734</v>
      </c>
      <c r="D8" s="14" t="s">
        <v>735</v>
      </c>
      <c r="E8" s="25" t="s">
        <v>514</v>
      </c>
      <c r="F8" s="25" t="s">
        <v>331</v>
      </c>
      <c r="G8" s="30" t="s">
        <v>150</v>
      </c>
      <c r="H8" s="25" t="s">
        <v>99</v>
      </c>
      <c r="I8" s="25"/>
      <c r="J8" s="60" t="s">
        <v>334</v>
      </c>
      <c r="K8" s="36"/>
    </row>
    <row r="10" spans="1:11" ht="21.95" customHeight="1" x14ac:dyDescent="0.25">
      <c r="A10" s="124" t="s">
        <v>736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</row>
    <row r="11" spans="1:11" ht="42" customHeight="1" x14ac:dyDescent="0.25">
      <c r="A11" s="23">
        <v>5</v>
      </c>
      <c r="B11" s="33" t="s">
        <v>737</v>
      </c>
      <c r="C11" s="34" t="s">
        <v>738</v>
      </c>
      <c r="D11" s="14" t="s">
        <v>739</v>
      </c>
      <c r="E11" s="25" t="s">
        <v>547</v>
      </c>
      <c r="F11" s="25" t="s">
        <v>331</v>
      </c>
      <c r="G11" s="30" t="s">
        <v>150</v>
      </c>
      <c r="H11" s="25" t="s">
        <v>727</v>
      </c>
      <c r="I11" s="25"/>
      <c r="J11" s="60" t="s">
        <v>334</v>
      </c>
      <c r="K11" s="36" t="s">
        <v>740</v>
      </c>
    </row>
    <row r="12" spans="1:11" ht="42" customHeight="1" x14ac:dyDescent="0.25">
      <c r="A12" s="23">
        <v>6</v>
      </c>
      <c r="B12" s="33" t="s">
        <v>741</v>
      </c>
      <c r="C12" s="34" t="s">
        <v>742</v>
      </c>
      <c r="D12" s="14" t="s">
        <v>743</v>
      </c>
      <c r="E12" s="25" t="s">
        <v>547</v>
      </c>
      <c r="F12" s="25" t="s">
        <v>331</v>
      </c>
      <c r="G12" s="30" t="s">
        <v>150</v>
      </c>
      <c r="H12" s="25" t="s">
        <v>727</v>
      </c>
      <c r="I12" s="25"/>
      <c r="J12" s="63" t="s">
        <v>345</v>
      </c>
      <c r="K12" s="36"/>
    </row>
    <row r="13" spans="1:11" ht="42" customHeight="1" x14ac:dyDescent="0.25">
      <c r="A13" s="23">
        <v>7</v>
      </c>
      <c r="B13" s="33" t="s">
        <v>744</v>
      </c>
      <c r="C13" s="34" t="s">
        <v>745</v>
      </c>
      <c r="D13" s="14" t="s">
        <v>746</v>
      </c>
      <c r="E13" s="25" t="s">
        <v>547</v>
      </c>
      <c r="F13" s="25" t="s">
        <v>331</v>
      </c>
      <c r="G13" s="30" t="s">
        <v>150</v>
      </c>
      <c r="H13" s="25" t="s">
        <v>747</v>
      </c>
      <c r="I13" s="25"/>
      <c r="J13" s="63" t="s">
        <v>345</v>
      </c>
      <c r="K13" s="36" t="s">
        <v>748</v>
      </c>
    </row>
    <row r="14" spans="1:11" ht="42" customHeight="1" x14ac:dyDescent="0.25">
      <c r="A14" s="23">
        <v>8</v>
      </c>
      <c r="B14" s="33" t="s">
        <v>749</v>
      </c>
      <c r="C14" s="34" t="s">
        <v>750</v>
      </c>
      <c r="D14" s="14" t="s">
        <v>751</v>
      </c>
      <c r="E14" s="25" t="s">
        <v>752</v>
      </c>
      <c r="F14" s="25" t="s">
        <v>331</v>
      </c>
      <c r="G14" s="30" t="s">
        <v>150</v>
      </c>
      <c r="H14" s="25" t="s">
        <v>99</v>
      </c>
      <c r="I14" s="25"/>
      <c r="J14" s="60" t="s">
        <v>334</v>
      </c>
      <c r="K14" s="36"/>
    </row>
    <row r="16" spans="1:11" ht="21.95" customHeight="1" x14ac:dyDescent="0.25">
      <c r="A16" s="124" t="s">
        <v>753</v>
      </c>
      <c r="B16" s="122"/>
      <c r="C16" s="122"/>
      <c r="D16" s="122"/>
      <c r="E16" s="122"/>
      <c r="F16" s="122"/>
      <c r="G16" s="122"/>
      <c r="H16" s="122"/>
      <c r="I16" s="122"/>
      <c r="J16" s="122"/>
      <c r="K16" s="122"/>
    </row>
    <row r="17" spans="1:11" ht="42" customHeight="1" x14ac:dyDescent="0.25">
      <c r="A17" s="23">
        <v>9</v>
      </c>
      <c r="B17" s="33" t="s">
        <v>754</v>
      </c>
      <c r="C17" s="34" t="s">
        <v>755</v>
      </c>
      <c r="D17" s="14" t="s">
        <v>756</v>
      </c>
      <c r="E17" s="25" t="s">
        <v>731</v>
      </c>
      <c r="F17" s="25" t="s">
        <v>656</v>
      </c>
      <c r="G17" s="30" t="s">
        <v>150</v>
      </c>
      <c r="H17" s="25" t="s">
        <v>727</v>
      </c>
      <c r="I17" s="25"/>
      <c r="J17" s="63" t="s">
        <v>345</v>
      </c>
      <c r="K17" s="36"/>
    </row>
    <row r="18" spans="1:11" ht="42" customHeight="1" x14ac:dyDescent="0.25">
      <c r="A18" s="23">
        <v>10</v>
      </c>
      <c r="B18" s="33" t="s">
        <v>757</v>
      </c>
      <c r="C18" s="34" t="s">
        <v>758</v>
      </c>
      <c r="D18" s="14" t="s">
        <v>759</v>
      </c>
      <c r="E18" s="25" t="s">
        <v>731</v>
      </c>
      <c r="F18" s="25" t="s">
        <v>656</v>
      </c>
      <c r="G18" s="30" t="s">
        <v>150</v>
      </c>
      <c r="H18" s="25" t="s">
        <v>727</v>
      </c>
      <c r="I18" s="25"/>
      <c r="J18" s="63" t="s">
        <v>345</v>
      </c>
      <c r="K18" s="36"/>
    </row>
    <row r="19" spans="1:11" ht="42" customHeight="1" x14ac:dyDescent="0.25">
      <c r="A19" s="23">
        <v>11</v>
      </c>
      <c r="B19" s="33" t="s">
        <v>760</v>
      </c>
      <c r="C19" s="34" t="s">
        <v>761</v>
      </c>
      <c r="D19" s="14" t="s">
        <v>762</v>
      </c>
      <c r="E19" s="25" t="s">
        <v>494</v>
      </c>
      <c r="F19" s="25" t="s">
        <v>353</v>
      </c>
      <c r="G19" s="30" t="s">
        <v>150</v>
      </c>
      <c r="H19" s="25" t="s">
        <v>727</v>
      </c>
      <c r="I19" s="25"/>
      <c r="J19" s="62" t="s">
        <v>354</v>
      </c>
      <c r="K19" s="36"/>
    </row>
  </sheetData>
  <mergeCells count="5">
    <mergeCell ref="A4:K4"/>
    <mergeCell ref="A2:K2"/>
    <mergeCell ref="A16:K16"/>
    <mergeCell ref="A10:K10"/>
    <mergeCell ref="A1:K1"/>
  </mergeCells>
  <dataValidations count="1">
    <dataValidation type="list" allowBlank="1" sqref="G4:G300" xr:uid="{00000000-0002-0000-0800-000000000000}">
      <formula1>"⏳ TODO,🔄 IN PROGRESS,✅ DONE,🚫 BLOCKED,⏭ SKIP"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A6B3A"/>
  </sheetPr>
  <dimension ref="A1:K1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9" customWidth="1"/>
    <col min="3" max="3" width="28" customWidth="1"/>
    <col min="4" max="4" width="36" customWidth="1"/>
    <col min="5" max="6" width="15" customWidth="1"/>
    <col min="7" max="7" width="14" customWidth="1"/>
    <col min="8" max="9" width="13" customWidth="1"/>
    <col min="10" max="10" width="12" customWidth="1"/>
    <col min="11" max="11" width="32" customWidth="1"/>
  </cols>
  <sheetData>
    <row r="1" spans="1:11" ht="33.950000000000003" customHeight="1" x14ac:dyDescent="0.25">
      <c r="A1" s="125" t="s">
        <v>763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</row>
    <row r="2" spans="1:11" ht="15.95" customHeight="1" x14ac:dyDescent="0.25">
      <c r="A2" s="123" t="s">
        <v>764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26.1" customHeight="1" x14ac:dyDescent="0.25">
      <c r="A3" s="1" t="s">
        <v>10</v>
      </c>
      <c r="B3" s="1" t="s">
        <v>135</v>
      </c>
      <c r="C3" s="1" t="s">
        <v>318</v>
      </c>
      <c r="D3" s="1" t="s">
        <v>319</v>
      </c>
      <c r="E3" s="1" t="s">
        <v>320</v>
      </c>
      <c r="F3" s="1" t="s">
        <v>321</v>
      </c>
      <c r="G3" s="1" t="s">
        <v>140</v>
      </c>
      <c r="H3" s="1" t="s">
        <v>322</v>
      </c>
      <c r="I3" s="1" t="s">
        <v>323</v>
      </c>
      <c r="J3" s="1" t="s">
        <v>324</v>
      </c>
      <c r="K3" s="1" t="s">
        <v>325</v>
      </c>
    </row>
    <row r="4" spans="1:11" ht="21.95" customHeight="1" x14ac:dyDescent="0.25">
      <c r="A4" s="124" t="s">
        <v>765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</row>
    <row r="5" spans="1:11" ht="42" customHeight="1" x14ac:dyDescent="0.25">
      <c r="A5" s="23">
        <v>1</v>
      </c>
      <c r="B5" s="33" t="s">
        <v>766</v>
      </c>
      <c r="C5" s="34" t="s">
        <v>767</v>
      </c>
      <c r="D5" s="14" t="s">
        <v>768</v>
      </c>
      <c r="E5" s="25" t="s">
        <v>769</v>
      </c>
      <c r="F5" s="25" t="s">
        <v>331</v>
      </c>
      <c r="G5" s="30" t="s">
        <v>150</v>
      </c>
      <c r="H5" s="25" t="s">
        <v>102</v>
      </c>
      <c r="I5" s="25"/>
      <c r="J5" s="60" t="s">
        <v>334</v>
      </c>
      <c r="K5" s="36"/>
    </row>
    <row r="6" spans="1:11" ht="42" customHeight="1" x14ac:dyDescent="0.25">
      <c r="A6" s="23">
        <v>2</v>
      </c>
      <c r="B6" s="33" t="s">
        <v>770</v>
      </c>
      <c r="C6" s="34" t="s">
        <v>771</v>
      </c>
      <c r="D6" s="14" t="s">
        <v>772</v>
      </c>
      <c r="E6" s="25" t="s">
        <v>769</v>
      </c>
      <c r="F6" s="25" t="s">
        <v>451</v>
      </c>
      <c r="G6" s="30" t="s">
        <v>150</v>
      </c>
      <c r="H6" s="25" t="s">
        <v>102</v>
      </c>
      <c r="I6" s="25"/>
      <c r="J6" s="60" t="s">
        <v>334</v>
      </c>
      <c r="K6" s="36" t="s">
        <v>773</v>
      </c>
    </row>
    <row r="7" spans="1:11" ht="42" customHeight="1" x14ac:dyDescent="0.25">
      <c r="A7" s="23">
        <v>3</v>
      </c>
      <c r="B7" s="33" t="s">
        <v>774</v>
      </c>
      <c r="C7" s="34" t="s">
        <v>775</v>
      </c>
      <c r="D7" s="14" t="s">
        <v>776</v>
      </c>
      <c r="E7" s="25" t="s">
        <v>769</v>
      </c>
      <c r="F7" s="25" t="s">
        <v>331</v>
      </c>
      <c r="G7" s="30" t="s">
        <v>150</v>
      </c>
      <c r="H7" s="25" t="s">
        <v>777</v>
      </c>
      <c r="I7" s="25"/>
      <c r="J7" s="63" t="s">
        <v>345</v>
      </c>
      <c r="K7" s="36"/>
    </row>
    <row r="9" spans="1:11" ht="21.95" customHeight="1" x14ac:dyDescent="0.25">
      <c r="A9" s="124" t="s">
        <v>778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</row>
    <row r="10" spans="1:11" ht="42" customHeight="1" x14ac:dyDescent="0.25">
      <c r="A10" s="23">
        <v>4</v>
      </c>
      <c r="B10" s="33" t="s">
        <v>779</v>
      </c>
      <c r="C10" s="34" t="s">
        <v>780</v>
      </c>
      <c r="D10" s="14" t="s">
        <v>781</v>
      </c>
      <c r="E10" s="25" t="s">
        <v>782</v>
      </c>
      <c r="F10" s="25" t="s">
        <v>353</v>
      </c>
      <c r="G10" s="30" t="s">
        <v>150</v>
      </c>
      <c r="H10" s="25" t="s">
        <v>777</v>
      </c>
      <c r="I10" s="25"/>
      <c r="J10" s="62" t="s">
        <v>354</v>
      </c>
      <c r="K10" s="36" t="s">
        <v>783</v>
      </c>
    </row>
    <row r="11" spans="1:11" ht="42" customHeight="1" x14ac:dyDescent="0.25">
      <c r="A11" s="23">
        <v>5</v>
      </c>
      <c r="B11" s="33" t="s">
        <v>784</v>
      </c>
      <c r="C11" s="34" t="s">
        <v>785</v>
      </c>
      <c r="D11" s="14" t="s">
        <v>786</v>
      </c>
      <c r="E11" s="25" t="s">
        <v>782</v>
      </c>
      <c r="F11" s="25" t="s">
        <v>331</v>
      </c>
      <c r="G11" s="30" t="s">
        <v>150</v>
      </c>
      <c r="H11" s="25" t="s">
        <v>787</v>
      </c>
      <c r="I11" s="25"/>
      <c r="J11" s="62" t="s">
        <v>354</v>
      </c>
      <c r="K11" s="36"/>
    </row>
    <row r="12" spans="1:11" ht="42" customHeight="1" x14ac:dyDescent="0.25">
      <c r="A12" s="23">
        <v>6</v>
      </c>
      <c r="B12" s="33" t="s">
        <v>788</v>
      </c>
      <c r="C12" s="34" t="s">
        <v>789</v>
      </c>
      <c r="D12" s="14" t="s">
        <v>790</v>
      </c>
      <c r="E12" s="25" t="s">
        <v>782</v>
      </c>
      <c r="F12" s="25" t="s">
        <v>331</v>
      </c>
      <c r="G12" s="30" t="s">
        <v>150</v>
      </c>
      <c r="H12" s="25" t="s">
        <v>791</v>
      </c>
      <c r="I12" s="25"/>
      <c r="J12" s="63" t="s">
        <v>345</v>
      </c>
      <c r="K12" s="36"/>
    </row>
    <row r="13" spans="1:11" ht="42" customHeight="1" x14ac:dyDescent="0.25">
      <c r="A13" s="23">
        <v>7</v>
      </c>
      <c r="B13" s="33" t="s">
        <v>792</v>
      </c>
      <c r="C13" s="34" t="s">
        <v>793</v>
      </c>
      <c r="D13" s="14" t="s">
        <v>794</v>
      </c>
      <c r="E13" s="25" t="s">
        <v>782</v>
      </c>
      <c r="F13" s="25" t="s">
        <v>795</v>
      </c>
      <c r="G13" s="30" t="s">
        <v>150</v>
      </c>
      <c r="H13" s="25" t="s">
        <v>102</v>
      </c>
      <c r="I13" s="25"/>
      <c r="J13" s="62" t="s">
        <v>354</v>
      </c>
      <c r="K13" s="36" t="s">
        <v>796</v>
      </c>
    </row>
    <row r="15" spans="1:11" ht="21.95" customHeight="1" x14ac:dyDescent="0.25">
      <c r="A15" s="124" t="s">
        <v>797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</row>
    <row r="16" spans="1:11" ht="42" customHeight="1" x14ac:dyDescent="0.25">
      <c r="A16" s="23">
        <v>8</v>
      </c>
      <c r="B16" s="33" t="s">
        <v>798</v>
      </c>
      <c r="C16" s="34" t="s">
        <v>799</v>
      </c>
      <c r="D16" s="14" t="s">
        <v>800</v>
      </c>
      <c r="E16" s="25" t="s">
        <v>801</v>
      </c>
      <c r="F16" s="25" t="s">
        <v>331</v>
      </c>
      <c r="G16" s="30" t="s">
        <v>150</v>
      </c>
      <c r="H16" s="25" t="s">
        <v>791</v>
      </c>
      <c r="I16" s="25"/>
      <c r="J16" s="63" t="s">
        <v>345</v>
      </c>
      <c r="K16" s="36" t="s">
        <v>802</v>
      </c>
    </row>
    <row r="17" spans="1:11" ht="42" customHeight="1" x14ac:dyDescent="0.25">
      <c r="A17" s="23">
        <v>9</v>
      </c>
      <c r="B17" s="33" t="s">
        <v>803</v>
      </c>
      <c r="C17" s="34" t="s">
        <v>804</v>
      </c>
      <c r="D17" s="14" t="s">
        <v>805</v>
      </c>
      <c r="E17" s="25" t="s">
        <v>801</v>
      </c>
      <c r="F17" s="25" t="s">
        <v>331</v>
      </c>
      <c r="G17" s="30" t="s">
        <v>150</v>
      </c>
      <c r="H17" s="25" t="s">
        <v>806</v>
      </c>
      <c r="I17" s="25"/>
      <c r="J17" s="63" t="s">
        <v>345</v>
      </c>
      <c r="K17" s="36" t="s">
        <v>807</v>
      </c>
    </row>
    <row r="18" spans="1:11" ht="42" customHeight="1" x14ac:dyDescent="0.25">
      <c r="A18" s="23">
        <v>10</v>
      </c>
      <c r="B18" s="33" t="s">
        <v>808</v>
      </c>
      <c r="C18" s="34" t="s">
        <v>809</v>
      </c>
      <c r="D18" s="14" t="s">
        <v>810</v>
      </c>
      <c r="E18" s="25" t="s">
        <v>811</v>
      </c>
      <c r="F18" s="25" t="s">
        <v>651</v>
      </c>
      <c r="G18" s="30" t="s">
        <v>150</v>
      </c>
      <c r="H18" s="25" t="s">
        <v>806</v>
      </c>
      <c r="I18" s="25"/>
      <c r="J18" s="62" t="s">
        <v>354</v>
      </c>
      <c r="K18" s="36"/>
    </row>
    <row r="19" spans="1:11" ht="42" customHeight="1" x14ac:dyDescent="0.25">
      <c r="A19" s="23">
        <v>11</v>
      </c>
      <c r="B19" s="33" t="s">
        <v>812</v>
      </c>
      <c r="C19" s="34" t="s">
        <v>813</v>
      </c>
      <c r="D19" s="14" t="s">
        <v>814</v>
      </c>
      <c r="E19" s="25" t="s">
        <v>815</v>
      </c>
      <c r="F19" s="25" t="s">
        <v>339</v>
      </c>
      <c r="G19" s="30" t="s">
        <v>150</v>
      </c>
      <c r="H19" s="25" t="s">
        <v>102</v>
      </c>
      <c r="I19" s="25"/>
      <c r="J19" s="63" t="s">
        <v>345</v>
      </c>
      <c r="K19" s="36"/>
    </row>
  </sheetData>
  <mergeCells count="5">
    <mergeCell ref="A4:K4"/>
    <mergeCell ref="A15:K15"/>
    <mergeCell ref="A2:K2"/>
    <mergeCell ref="A1:K1"/>
    <mergeCell ref="A9:K9"/>
  </mergeCells>
  <dataValidations count="1">
    <dataValidation type="list" allowBlank="1" sqref="G4:G300" xr:uid="{00000000-0002-0000-0900-000000000000}">
      <formula1>"⏳ TODO,🔄 IN PROGRESS,✅ DONE,🚫 BLOCKED,⏭ SKIP"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A3D62"/>
  </sheetPr>
  <dimension ref="A1:K46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14" customWidth="1"/>
    <col min="4" max="4" width="16" customWidth="1"/>
    <col min="5" max="5" width="18" customWidth="1"/>
    <col min="6" max="6" width="14" customWidth="1"/>
    <col min="7" max="7" width="18" customWidth="1"/>
    <col min="8" max="8" width="14" customWidth="1"/>
    <col min="9" max="9" width="16" customWidth="1"/>
    <col min="10" max="11" width="24" customWidth="1"/>
  </cols>
  <sheetData>
    <row r="1" spans="1:11" ht="33.950000000000003" customHeight="1" x14ac:dyDescent="0.25">
      <c r="A1" s="125" t="s">
        <v>816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</row>
    <row r="2" spans="1:11" ht="15.95" customHeight="1" x14ac:dyDescent="0.25">
      <c r="A2" s="123" t="s">
        <v>817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21.95" customHeight="1" x14ac:dyDescent="0.25">
      <c r="A3" s="124" t="s">
        <v>818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</row>
    <row r="4" spans="1:11" ht="26.1" customHeight="1" x14ac:dyDescent="0.25">
      <c r="A4" s="41" t="s">
        <v>819</v>
      </c>
      <c r="B4" s="41" t="s">
        <v>820</v>
      </c>
      <c r="C4" s="41" t="s">
        <v>821</v>
      </c>
    </row>
    <row r="5" spans="1:11" ht="21.95" customHeight="1" x14ac:dyDescent="0.25">
      <c r="A5" s="64" t="s">
        <v>822</v>
      </c>
      <c r="B5" s="144" t="s">
        <v>823</v>
      </c>
      <c r="C5" s="145" t="s">
        <v>824</v>
      </c>
    </row>
    <row r="6" spans="1:11" ht="21.95" customHeight="1" x14ac:dyDescent="0.25">
      <c r="A6" s="66" t="s">
        <v>825</v>
      </c>
      <c r="B6" s="146" t="s">
        <v>826</v>
      </c>
      <c r="C6" s="143" t="s">
        <v>827</v>
      </c>
    </row>
    <row r="7" spans="1:11" ht="21.95" customHeight="1" x14ac:dyDescent="0.25">
      <c r="A7" s="64" t="s">
        <v>828</v>
      </c>
      <c r="B7" s="144" t="s">
        <v>829</v>
      </c>
      <c r="C7" s="145" t="s">
        <v>830</v>
      </c>
    </row>
    <row r="8" spans="1:11" ht="21.95" customHeight="1" x14ac:dyDescent="0.25">
      <c r="A8" s="66" t="s">
        <v>831</v>
      </c>
      <c r="B8" s="146" t="s">
        <v>832</v>
      </c>
      <c r="C8" s="143" t="s">
        <v>833</v>
      </c>
    </row>
    <row r="9" spans="1:11" ht="21.95" customHeight="1" x14ac:dyDescent="0.25">
      <c r="A9" s="64" t="s">
        <v>834</v>
      </c>
      <c r="B9" s="144" t="s">
        <v>835</v>
      </c>
      <c r="C9" s="145" t="s">
        <v>836</v>
      </c>
    </row>
    <row r="10" spans="1:11" ht="21.95" customHeight="1" x14ac:dyDescent="0.25">
      <c r="A10" s="66" t="s">
        <v>837</v>
      </c>
      <c r="B10" s="146" t="s">
        <v>838</v>
      </c>
      <c r="C10" s="143" t="s">
        <v>839</v>
      </c>
    </row>
    <row r="11" spans="1:11" ht="21.95" customHeight="1" x14ac:dyDescent="0.25">
      <c r="A11" s="64" t="s">
        <v>840</v>
      </c>
      <c r="B11" s="144" t="s">
        <v>841</v>
      </c>
      <c r="C11" s="145" t="s">
        <v>842</v>
      </c>
    </row>
    <row r="12" spans="1:11" ht="21.95" customHeight="1" x14ac:dyDescent="0.25">
      <c r="A12" s="66" t="s">
        <v>843</v>
      </c>
      <c r="B12" s="146" t="s">
        <v>844</v>
      </c>
      <c r="C12" s="143" t="s">
        <v>845</v>
      </c>
    </row>
    <row r="13" spans="1:11" ht="21.95" customHeight="1" x14ac:dyDescent="0.25">
      <c r="A13" s="64" t="s">
        <v>846</v>
      </c>
      <c r="B13" s="144" t="s">
        <v>847</v>
      </c>
      <c r="C13" s="145" t="s">
        <v>848</v>
      </c>
    </row>
    <row r="15" spans="1:11" ht="21.95" customHeight="1" x14ac:dyDescent="0.25">
      <c r="A15" s="124" t="s">
        <v>849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</row>
    <row r="16" spans="1:11" ht="26.1" customHeight="1" x14ac:dyDescent="0.25">
      <c r="A16" s="1" t="s">
        <v>10</v>
      </c>
      <c r="B16" s="1" t="s">
        <v>850</v>
      </c>
      <c r="C16" s="1" t="s">
        <v>851</v>
      </c>
      <c r="D16" s="1" t="s">
        <v>852</v>
      </c>
      <c r="E16" s="1" t="s">
        <v>853</v>
      </c>
      <c r="F16" s="1" t="s">
        <v>854</v>
      </c>
      <c r="G16" s="1" t="s">
        <v>855</v>
      </c>
      <c r="H16" s="1" t="s">
        <v>856</v>
      </c>
      <c r="I16" s="1" t="s">
        <v>857</v>
      </c>
      <c r="J16" s="1" t="s">
        <v>325</v>
      </c>
      <c r="K16" s="1" t="s">
        <v>858</v>
      </c>
    </row>
    <row r="17" spans="1:11" ht="27.95" customHeight="1" x14ac:dyDescent="0.25">
      <c r="A17" s="12">
        <v>1</v>
      </c>
      <c r="B17" s="24" t="s">
        <v>859</v>
      </c>
      <c r="C17" s="25" t="s">
        <v>860</v>
      </c>
      <c r="D17" s="28" t="s">
        <v>861</v>
      </c>
      <c r="E17" s="68" t="s">
        <v>862</v>
      </c>
      <c r="F17" s="69" t="s">
        <v>863</v>
      </c>
      <c r="G17" s="25"/>
      <c r="H17" s="25"/>
      <c r="I17" s="70" t="s">
        <v>864</v>
      </c>
      <c r="J17" s="68"/>
      <c r="K17" s="14" t="s">
        <v>865</v>
      </c>
    </row>
    <row r="18" spans="1:11" ht="27.95" customHeight="1" x14ac:dyDescent="0.25">
      <c r="A18" s="12">
        <v>2</v>
      </c>
      <c r="B18" s="24" t="s">
        <v>866</v>
      </c>
      <c r="C18" s="25" t="s">
        <v>867</v>
      </c>
      <c r="D18" s="28" t="s">
        <v>868</v>
      </c>
      <c r="E18" s="68"/>
      <c r="F18" s="69" t="s">
        <v>863</v>
      </c>
      <c r="G18" s="25"/>
      <c r="H18" s="25"/>
      <c r="I18" s="70" t="s">
        <v>67</v>
      </c>
      <c r="J18" s="68"/>
      <c r="K18" s="14"/>
    </row>
    <row r="19" spans="1:11" ht="27.95" customHeight="1" x14ac:dyDescent="0.25">
      <c r="A19" s="12">
        <v>3</v>
      </c>
      <c r="B19" s="24" t="s">
        <v>869</v>
      </c>
      <c r="C19" s="25" t="s">
        <v>870</v>
      </c>
      <c r="D19" s="28" t="s">
        <v>871</v>
      </c>
      <c r="E19" s="68"/>
      <c r="F19" s="69" t="s">
        <v>863</v>
      </c>
      <c r="G19" s="25"/>
      <c r="H19" s="25"/>
      <c r="I19" s="70" t="s">
        <v>67</v>
      </c>
      <c r="J19" s="68"/>
      <c r="K19" s="14"/>
    </row>
    <row r="20" spans="1:11" ht="27.95" customHeight="1" x14ac:dyDescent="0.25">
      <c r="A20" s="12">
        <v>4</v>
      </c>
      <c r="B20" s="24" t="s">
        <v>872</v>
      </c>
      <c r="C20" s="25" t="s">
        <v>873</v>
      </c>
      <c r="D20" s="28" t="s">
        <v>874</v>
      </c>
      <c r="E20" s="68"/>
      <c r="F20" s="69" t="s">
        <v>863</v>
      </c>
      <c r="G20" s="25"/>
      <c r="H20" s="25"/>
      <c r="I20" s="70" t="s">
        <v>875</v>
      </c>
      <c r="J20" s="68" t="s">
        <v>876</v>
      </c>
      <c r="K20" s="14"/>
    </row>
    <row r="21" spans="1:11" ht="27.95" customHeight="1" x14ac:dyDescent="0.25">
      <c r="A21" s="12">
        <v>5</v>
      </c>
      <c r="B21" s="24" t="s">
        <v>877</v>
      </c>
      <c r="C21" s="25" t="s">
        <v>878</v>
      </c>
      <c r="D21" s="28" t="s">
        <v>879</v>
      </c>
      <c r="E21" s="68"/>
      <c r="F21" s="69" t="s">
        <v>863</v>
      </c>
      <c r="G21" s="25"/>
      <c r="H21" s="25"/>
      <c r="I21" s="70" t="s">
        <v>67</v>
      </c>
      <c r="J21" s="68"/>
      <c r="K21" s="14"/>
    </row>
    <row r="22" spans="1:11" ht="24" customHeight="1" x14ac:dyDescent="0.25">
      <c r="A22" s="71"/>
      <c r="B22" s="71"/>
      <c r="C22" s="71"/>
      <c r="D22" s="71"/>
      <c r="E22" s="71"/>
      <c r="F22" s="72" t="s">
        <v>863</v>
      </c>
      <c r="G22" s="71"/>
      <c r="H22" s="71"/>
      <c r="I22" s="71"/>
      <c r="J22" s="71"/>
      <c r="K22" s="71"/>
    </row>
    <row r="23" spans="1:11" ht="24" customHeight="1" x14ac:dyDescent="0.25">
      <c r="A23" s="71"/>
      <c r="B23" s="71"/>
      <c r="C23" s="71"/>
      <c r="D23" s="71"/>
      <c r="E23" s="71"/>
      <c r="F23" s="72" t="s">
        <v>863</v>
      </c>
      <c r="G23" s="71"/>
      <c r="H23" s="71"/>
      <c r="I23" s="71"/>
      <c r="J23" s="71"/>
      <c r="K23" s="71"/>
    </row>
    <row r="24" spans="1:11" ht="24" customHeight="1" x14ac:dyDescent="0.25">
      <c r="A24" s="71"/>
      <c r="B24" s="71"/>
      <c r="C24" s="71"/>
      <c r="D24" s="71"/>
      <c r="E24" s="71"/>
      <c r="F24" s="72" t="s">
        <v>863</v>
      </c>
      <c r="G24" s="71"/>
      <c r="H24" s="71"/>
      <c r="I24" s="71"/>
      <c r="J24" s="71"/>
      <c r="K24" s="71"/>
    </row>
    <row r="25" spans="1:11" ht="24" customHeight="1" x14ac:dyDescent="0.25">
      <c r="A25" s="71"/>
      <c r="B25" s="71"/>
      <c r="C25" s="71"/>
      <c r="D25" s="71"/>
      <c r="E25" s="71"/>
      <c r="F25" s="72" t="s">
        <v>863</v>
      </c>
      <c r="G25" s="71"/>
      <c r="H25" s="71"/>
      <c r="I25" s="71"/>
      <c r="J25" s="71"/>
      <c r="K25" s="71"/>
    </row>
    <row r="26" spans="1:11" ht="24" customHeight="1" x14ac:dyDescent="0.25">
      <c r="A26" s="71"/>
      <c r="B26" s="71"/>
      <c r="C26" s="71"/>
      <c r="D26" s="71"/>
      <c r="E26" s="71"/>
      <c r="F26" s="72" t="s">
        <v>863</v>
      </c>
      <c r="G26" s="71"/>
      <c r="H26" s="71"/>
      <c r="I26" s="71"/>
      <c r="J26" s="71"/>
      <c r="K26" s="71"/>
    </row>
    <row r="27" spans="1:11" ht="24" customHeight="1" x14ac:dyDescent="0.25">
      <c r="A27" s="71"/>
      <c r="B27" s="71"/>
      <c r="C27" s="71"/>
      <c r="D27" s="71"/>
      <c r="E27" s="71"/>
      <c r="F27" s="72" t="s">
        <v>863</v>
      </c>
      <c r="G27" s="71"/>
      <c r="H27" s="71"/>
      <c r="I27" s="71"/>
      <c r="J27" s="71"/>
      <c r="K27" s="71"/>
    </row>
    <row r="28" spans="1:11" ht="24" customHeight="1" x14ac:dyDescent="0.25">
      <c r="A28" s="71"/>
      <c r="B28" s="71"/>
      <c r="C28" s="71"/>
      <c r="D28" s="71"/>
      <c r="E28" s="71"/>
      <c r="F28" s="72" t="s">
        <v>863</v>
      </c>
      <c r="G28" s="71"/>
      <c r="H28" s="71"/>
      <c r="I28" s="71"/>
      <c r="J28" s="71"/>
      <c r="K28" s="71"/>
    </row>
    <row r="29" spans="1:11" ht="24" customHeight="1" x14ac:dyDescent="0.25">
      <c r="A29" s="71"/>
      <c r="B29" s="71"/>
      <c r="C29" s="71"/>
      <c r="D29" s="71"/>
      <c r="E29" s="71"/>
      <c r="F29" s="72" t="s">
        <v>863</v>
      </c>
      <c r="G29" s="71"/>
      <c r="H29" s="71"/>
      <c r="I29" s="71"/>
      <c r="J29" s="71"/>
      <c r="K29" s="71"/>
    </row>
    <row r="30" spans="1:11" ht="24" customHeight="1" x14ac:dyDescent="0.25">
      <c r="A30" s="71"/>
      <c r="B30" s="71"/>
      <c r="C30" s="71"/>
      <c r="D30" s="71"/>
      <c r="E30" s="71"/>
      <c r="F30" s="72" t="s">
        <v>863</v>
      </c>
      <c r="G30" s="71"/>
      <c r="H30" s="71"/>
      <c r="I30" s="71"/>
      <c r="J30" s="71"/>
      <c r="K30" s="71"/>
    </row>
    <row r="31" spans="1:11" ht="24" customHeight="1" x14ac:dyDescent="0.25">
      <c r="A31" s="71"/>
      <c r="B31" s="71"/>
      <c r="C31" s="71"/>
      <c r="D31" s="71"/>
      <c r="E31" s="71"/>
      <c r="F31" s="72" t="s">
        <v>863</v>
      </c>
      <c r="G31" s="71"/>
      <c r="H31" s="71"/>
      <c r="I31" s="71"/>
      <c r="J31" s="71"/>
      <c r="K31" s="71"/>
    </row>
    <row r="32" spans="1:11" ht="24" customHeight="1" x14ac:dyDescent="0.25">
      <c r="A32" s="71"/>
      <c r="B32" s="71"/>
      <c r="C32" s="71"/>
      <c r="D32" s="71"/>
      <c r="E32" s="71"/>
      <c r="F32" s="72" t="s">
        <v>863</v>
      </c>
      <c r="G32" s="71"/>
      <c r="H32" s="71"/>
      <c r="I32" s="71"/>
      <c r="J32" s="71"/>
      <c r="K32" s="71"/>
    </row>
    <row r="33" spans="1:11" ht="24" customHeight="1" x14ac:dyDescent="0.25">
      <c r="A33" s="71"/>
      <c r="B33" s="71"/>
      <c r="C33" s="71"/>
      <c r="D33" s="71"/>
      <c r="E33" s="71"/>
      <c r="F33" s="72" t="s">
        <v>863</v>
      </c>
      <c r="G33" s="71"/>
      <c r="H33" s="71"/>
      <c r="I33" s="71"/>
      <c r="J33" s="71"/>
      <c r="K33" s="71"/>
    </row>
    <row r="34" spans="1:11" ht="24" customHeight="1" x14ac:dyDescent="0.25">
      <c r="A34" s="71"/>
      <c r="B34" s="71"/>
      <c r="C34" s="71"/>
      <c r="D34" s="71"/>
      <c r="E34" s="71"/>
      <c r="F34" s="72" t="s">
        <v>863</v>
      </c>
      <c r="G34" s="71"/>
      <c r="H34" s="71"/>
      <c r="I34" s="71"/>
      <c r="J34" s="71"/>
      <c r="K34" s="71"/>
    </row>
    <row r="35" spans="1:11" ht="24" customHeight="1" x14ac:dyDescent="0.25">
      <c r="A35" s="71"/>
      <c r="B35" s="71"/>
      <c r="C35" s="71"/>
      <c r="D35" s="71"/>
      <c r="E35" s="71"/>
      <c r="F35" s="72" t="s">
        <v>863</v>
      </c>
      <c r="G35" s="71"/>
      <c r="H35" s="71"/>
      <c r="I35" s="71"/>
      <c r="J35" s="71"/>
      <c r="K35" s="71"/>
    </row>
    <row r="36" spans="1:11" ht="24" customHeight="1" x14ac:dyDescent="0.25">
      <c r="A36" s="71"/>
      <c r="B36" s="71"/>
      <c r="C36" s="71"/>
      <c r="D36" s="71"/>
      <c r="E36" s="71"/>
      <c r="F36" s="72" t="s">
        <v>863</v>
      </c>
      <c r="G36" s="71"/>
      <c r="H36" s="71"/>
      <c r="I36" s="71"/>
      <c r="J36" s="71"/>
      <c r="K36" s="71"/>
    </row>
    <row r="37" spans="1:11" ht="24" customHeight="1" x14ac:dyDescent="0.25">
      <c r="A37" s="71"/>
      <c r="B37" s="71"/>
      <c r="C37" s="71"/>
      <c r="D37" s="71"/>
      <c r="E37" s="71"/>
      <c r="F37" s="72" t="s">
        <v>863</v>
      </c>
      <c r="G37" s="71"/>
      <c r="H37" s="71"/>
      <c r="I37" s="71"/>
      <c r="J37" s="71"/>
      <c r="K37" s="71"/>
    </row>
    <row r="38" spans="1:11" ht="24" customHeight="1" x14ac:dyDescent="0.25">
      <c r="A38" s="71"/>
      <c r="B38" s="71"/>
      <c r="C38" s="71"/>
      <c r="D38" s="71"/>
      <c r="E38" s="71"/>
      <c r="F38" s="72" t="s">
        <v>863</v>
      </c>
      <c r="G38" s="71"/>
      <c r="H38" s="71"/>
      <c r="I38" s="71"/>
      <c r="J38" s="71"/>
      <c r="K38" s="71"/>
    </row>
    <row r="39" spans="1:11" ht="24" customHeight="1" x14ac:dyDescent="0.25">
      <c r="A39" s="71"/>
      <c r="B39" s="71"/>
      <c r="C39" s="71"/>
      <c r="D39" s="71"/>
      <c r="E39" s="71"/>
      <c r="F39" s="72" t="s">
        <v>863</v>
      </c>
      <c r="G39" s="71"/>
      <c r="H39" s="71"/>
      <c r="I39" s="71"/>
      <c r="J39" s="71"/>
      <c r="K39" s="71"/>
    </row>
    <row r="40" spans="1:11" ht="24" customHeight="1" x14ac:dyDescent="0.25">
      <c r="A40" s="71"/>
      <c r="B40" s="71"/>
      <c r="C40" s="71"/>
      <c r="D40" s="71"/>
      <c r="E40" s="71"/>
      <c r="F40" s="72" t="s">
        <v>863</v>
      </c>
      <c r="G40" s="71"/>
      <c r="H40" s="71"/>
      <c r="I40" s="71"/>
      <c r="J40" s="71"/>
      <c r="K40" s="71"/>
    </row>
    <row r="41" spans="1:11" ht="24" customHeight="1" x14ac:dyDescent="0.25">
      <c r="A41" s="71"/>
      <c r="B41" s="71"/>
      <c r="C41" s="71"/>
      <c r="D41" s="71"/>
      <c r="E41" s="71"/>
      <c r="F41" s="72" t="s">
        <v>863</v>
      </c>
      <c r="G41" s="71"/>
      <c r="H41" s="71"/>
      <c r="I41" s="71"/>
      <c r="J41" s="71"/>
      <c r="K41" s="71"/>
    </row>
    <row r="42" spans="1:11" ht="24" customHeight="1" x14ac:dyDescent="0.25">
      <c r="A42" s="71"/>
      <c r="B42" s="71"/>
      <c r="C42" s="71"/>
      <c r="D42" s="71"/>
      <c r="E42" s="71"/>
      <c r="F42" s="72" t="s">
        <v>863</v>
      </c>
      <c r="G42" s="71"/>
      <c r="H42" s="71"/>
      <c r="I42" s="71"/>
      <c r="J42" s="71"/>
      <c r="K42" s="71"/>
    </row>
    <row r="43" spans="1:11" ht="24" customHeight="1" x14ac:dyDescent="0.25">
      <c r="A43" s="71"/>
      <c r="B43" s="71"/>
      <c r="C43" s="71"/>
      <c r="D43" s="71"/>
      <c r="E43" s="71"/>
      <c r="F43" s="72" t="s">
        <v>863</v>
      </c>
      <c r="G43" s="71"/>
      <c r="H43" s="71"/>
      <c r="I43" s="71"/>
      <c r="J43" s="71"/>
      <c r="K43" s="71"/>
    </row>
    <row r="44" spans="1:11" ht="24" customHeight="1" x14ac:dyDescent="0.25">
      <c r="A44" s="71"/>
      <c r="B44" s="71"/>
      <c r="C44" s="71"/>
      <c r="D44" s="71"/>
      <c r="E44" s="71"/>
      <c r="F44" s="72" t="s">
        <v>863</v>
      </c>
      <c r="G44" s="71"/>
      <c r="H44" s="71"/>
      <c r="I44" s="71"/>
      <c r="J44" s="71"/>
      <c r="K44" s="71"/>
    </row>
    <row r="45" spans="1:11" ht="24" customHeight="1" x14ac:dyDescent="0.25">
      <c r="A45" s="71"/>
      <c r="B45" s="71"/>
      <c r="C45" s="71"/>
      <c r="D45" s="71"/>
      <c r="E45" s="71"/>
      <c r="F45" s="72" t="s">
        <v>863</v>
      </c>
      <c r="G45" s="71"/>
      <c r="H45" s="71"/>
      <c r="I45" s="71"/>
      <c r="J45" s="71"/>
      <c r="K45" s="71"/>
    </row>
    <row r="46" spans="1:11" ht="24" customHeight="1" x14ac:dyDescent="0.25">
      <c r="A46" s="71"/>
      <c r="B46" s="71"/>
      <c r="C46" s="71"/>
      <c r="D46" s="71"/>
      <c r="E46" s="71"/>
      <c r="F46" s="72" t="s">
        <v>863</v>
      </c>
      <c r="G46" s="71"/>
      <c r="H46" s="71"/>
      <c r="I46" s="71"/>
      <c r="J46" s="71"/>
      <c r="K46" s="71"/>
    </row>
  </sheetData>
  <mergeCells count="22">
    <mergeCell ref="B5"/>
    <mergeCell ref="A1:K1"/>
    <mergeCell ref="C13"/>
    <mergeCell ref="B7"/>
    <mergeCell ref="C6"/>
    <mergeCell ref="C5"/>
    <mergeCell ref="B12"/>
    <mergeCell ref="A3:K3"/>
    <mergeCell ref="B11"/>
    <mergeCell ref="A2:K2"/>
    <mergeCell ref="C10"/>
    <mergeCell ref="C9"/>
    <mergeCell ref="B8"/>
    <mergeCell ref="B13"/>
    <mergeCell ref="C12"/>
    <mergeCell ref="C11"/>
    <mergeCell ref="C8"/>
    <mergeCell ref="B9"/>
    <mergeCell ref="A15:K15"/>
    <mergeCell ref="C7"/>
    <mergeCell ref="B6"/>
    <mergeCell ref="B10"/>
  </mergeCells>
  <dataValidations count="1">
    <dataValidation type="list" allowBlank="1" sqref="F17:F200" xr:uid="{00000000-0002-0000-0A00-000000000000}">
      <formula1>"1-ZIMNY,2-SKONTAKTOWANY,3-ODPOWIEDŹ,4-ROZMOWA,5-DEMO,6-OFERTA,7-NEGOCJACJE,8-UMOWA ✅,9-ODRZUCONY"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D6608"/>
  </sheetPr>
  <dimension ref="A1:G26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8" customWidth="1"/>
    <col min="4" max="4" width="38" customWidth="1"/>
    <col min="5" max="5" width="22" customWidth="1"/>
    <col min="6" max="7" width="14" customWidth="1"/>
  </cols>
  <sheetData>
    <row r="1" spans="1:7" ht="33.950000000000003" customHeight="1" x14ac:dyDescent="0.25">
      <c r="A1" s="125" t="s">
        <v>880</v>
      </c>
      <c r="B1" s="122"/>
      <c r="C1" s="122"/>
      <c r="D1" s="122"/>
      <c r="E1" s="122"/>
      <c r="F1" s="122"/>
      <c r="G1" s="122"/>
    </row>
    <row r="2" spans="1:7" ht="15.95" customHeight="1" x14ac:dyDescent="0.25">
      <c r="A2" s="123" t="s">
        <v>881</v>
      </c>
      <c r="B2" s="122"/>
      <c r="C2" s="122"/>
      <c r="D2" s="122"/>
      <c r="E2" s="122"/>
      <c r="F2" s="122"/>
      <c r="G2" s="122"/>
    </row>
    <row r="3" spans="1:7" ht="21.95" customHeight="1" x14ac:dyDescent="0.25">
      <c r="A3" s="124" t="s">
        <v>882</v>
      </c>
      <c r="B3" s="122"/>
      <c r="C3" s="122"/>
      <c r="D3" s="122"/>
      <c r="E3" s="122"/>
      <c r="F3" s="122"/>
      <c r="G3" s="122"/>
    </row>
    <row r="4" spans="1:7" ht="26.1" customHeight="1" x14ac:dyDescent="0.25">
      <c r="A4" s="1" t="s">
        <v>883</v>
      </c>
      <c r="B4" s="1" t="s">
        <v>66</v>
      </c>
      <c r="C4" s="1" t="s">
        <v>884</v>
      </c>
      <c r="D4" s="1" t="s">
        <v>885</v>
      </c>
      <c r="E4" s="1" t="s">
        <v>886</v>
      </c>
      <c r="F4" s="1" t="s">
        <v>887</v>
      </c>
      <c r="G4" s="1" t="s">
        <v>108</v>
      </c>
    </row>
    <row r="5" spans="1:7" ht="36" customHeight="1" x14ac:dyDescent="0.25">
      <c r="A5" s="64" t="s">
        <v>888</v>
      </c>
      <c r="B5" s="73" t="s">
        <v>889</v>
      </c>
      <c r="C5" s="65" t="s">
        <v>890</v>
      </c>
      <c r="D5" s="74" t="s">
        <v>891</v>
      </c>
      <c r="E5" s="75" t="s">
        <v>892</v>
      </c>
      <c r="F5" s="76" t="s">
        <v>893</v>
      </c>
      <c r="G5" s="76" t="s">
        <v>150</v>
      </c>
    </row>
    <row r="6" spans="1:7" ht="36" customHeight="1" x14ac:dyDescent="0.25">
      <c r="A6" s="66" t="s">
        <v>894</v>
      </c>
      <c r="B6" s="77" t="s">
        <v>895</v>
      </c>
      <c r="C6" s="67" t="s">
        <v>896</v>
      </c>
      <c r="D6" s="78" t="s">
        <v>897</v>
      </c>
      <c r="E6" s="79" t="s">
        <v>898</v>
      </c>
      <c r="F6" s="80" t="s">
        <v>893</v>
      </c>
      <c r="G6" s="80" t="s">
        <v>150</v>
      </c>
    </row>
    <row r="7" spans="1:7" ht="36" customHeight="1" x14ac:dyDescent="0.25">
      <c r="A7" s="64" t="s">
        <v>899</v>
      </c>
      <c r="B7" s="73" t="s">
        <v>900</v>
      </c>
      <c r="C7" s="65" t="s">
        <v>901</v>
      </c>
      <c r="D7" s="74" t="s">
        <v>902</v>
      </c>
      <c r="E7" s="75" t="s">
        <v>903</v>
      </c>
      <c r="F7" s="76" t="s">
        <v>893</v>
      </c>
      <c r="G7" s="76" t="s">
        <v>150</v>
      </c>
    </row>
    <row r="8" spans="1:7" ht="36" customHeight="1" x14ac:dyDescent="0.25">
      <c r="A8" s="66" t="s">
        <v>904</v>
      </c>
      <c r="B8" s="77" t="s">
        <v>905</v>
      </c>
      <c r="C8" s="67" t="s">
        <v>906</v>
      </c>
      <c r="D8" s="78" t="s">
        <v>907</v>
      </c>
      <c r="E8" s="79" t="s">
        <v>908</v>
      </c>
      <c r="F8" s="80" t="s">
        <v>893</v>
      </c>
      <c r="G8" s="80" t="s">
        <v>150</v>
      </c>
    </row>
    <row r="9" spans="1:7" ht="36" customHeight="1" x14ac:dyDescent="0.25">
      <c r="A9" s="64" t="s">
        <v>909</v>
      </c>
      <c r="B9" s="73" t="s">
        <v>910</v>
      </c>
      <c r="C9" s="65" t="s">
        <v>911</v>
      </c>
      <c r="D9" s="74" t="s">
        <v>912</v>
      </c>
      <c r="E9" s="75" t="s">
        <v>913</v>
      </c>
      <c r="F9" s="76" t="s">
        <v>893</v>
      </c>
      <c r="G9" s="76" t="s">
        <v>150</v>
      </c>
    </row>
    <row r="11" spans="1:7" ht="21.95" customHeight="1" x14ac:dyDescent="0.25">
      <c r="A11" s="124" t="s">
        <v>914</v>
      </c>
      <c r="B11" s="122"/>
      <c r="C11" s="122"/>
      <c r="D11" s="122"/>
      <c r="E11" s="122"/>
      <c r="F11" s="122"/>
      <c r="G11" s="122"/>
    </row>
    <row r="12" spans="1:7" ht="26.1" customHeight="1" x14ac:dyDescent="0.25">
      <c r="A12" s="1" t="s">
        <v>915</v>
      </c>
      <c r="B12" s="1" t="s">
        <v>884</v>
      </c>
      <c r="C12" s="1" t="s">
        <v>916</v>
      </c>
      <c r="D12" s="1" t="s">
        <v>917</v>
      </c>
      <c r="E12" s="1" t="s">
        <v>918</v>
      </c>
      <c r="F12" s="1" t="s">
        <v>108</v>
      </c>
      <c r="G12" s="1" t="s">
        <v>323</v>
      </c>
    </row>
    <row r="13" spans="1:7" ht="50.1" customHeight="1" x14ac:dyDescent="0.25">
      <c r="A13" s="81" t="s">
        <v>919</v>
      </c>
      <c r="B13" s="82" t="s">
        <v>920</v>
      </c>
      <c r="C13" s="76" t="s">
        <v>921</v>
      </c>
      <c r="D13" s="74" t="s">
        <v>922</v>
      </c>
      <c r="E13" s="83" t="s">
        <v>923</v>
      </c>
      <c r="F13" s="84" t="s">
        <v>150</v>
      </c>
      <c r="G13" s="76"/>
    </row>
    <row r="14" spans="1:7" ht="50.1" customHeight="1" x14ac:dyDescent="0.25">
      <c r="A14" s="81" t="s">
        <v>924</v>
      </c>
      <c r="B14" s="82" t="s">
        <v>925</v>
      </c>
      <c r="C14" s="76" t="s">
        <v>926</v>
      </c>
      <c r="D14" s="74" t="s">
        <v>927</v>
      </c>
      <c r="E14" s="83" t="s">
        <v>923</v>
      </c>
      <c r="F14" s="84" t="s">
        <v>218</v>
      </c>
      <c r="G14" s="76"/>
    </row>
    <row r="15" spans="1:7" ht="50.1" customHeight="1" x14ac:dyDescent="0.25">
      <c r="A15" s="81" t="s">
        <v>928</v>
      </c>
      <c r="B15" s="82" t="s">
        <v>929</v>
      </c>
      <c r="C15" s="76" t="s">
        <v>930</v>
      </c>
      <c r="D15" s="74" t="s">
        <v>931</v>
      </c>
      <c r="E15" s="83" t="s">
        <v>923</v>
      </c>
      <c r="F15" s="84" t="s">
        <v>150</v>
      </c>
      <c r="G15" s="76"/>
    </row>
    <row r="16" spans="1:7" ht="50.1" customHeight="1" x14ac:dyDescent="0.25">
      <c r="A16" s="81" t="s">
        <v>932</v>
      </c>
      <c r="B16" s="82" t="s">
        <v>920</v>
      </c>
      <c r="C16" s="76" t="s">
        <v>933</v>
      </c>
      <c r="D16" s="74" t="s">
        <v>934</v>
      </c>
      <c r="E16" s="83" t="s">
        <v>923</v>
      </c>
      <c r="F16" s="84" t="s">
        <v>150</v>
      </c>
      <c r="G16" s="76"/>
    </row>
    <row r="17" spans="1:7" ht="50.1" customHeight="1" x14ac:dyDescent="0.25">
      <c r="A17" s="81" t="s">
        <v>935</v>
      </c>
      <c r="B17" s="82" t="s">
        <v>936</v>
      </c>
      <c r="C17" s="76" t="s">
        <v>937</v>
      </c>
      <c r="D17" s="74" t="s">
        <v>938</v>
      </c>
      <c r="E17" s="83" t="s">
        <v>923</v>
      </c>
      <c r="F17" s="84" t="s">
        <v>150</v>
      </c>
      <c r="G17" s="76"/>
    </row>
    <row r="18" spans="1:7" ht="50.1" customHeight="1" x14ac:dyDescent="0.25">
      <c r="A18" s="81" t="s">
        <v>939</v>
      </c>
      <c r="B18" s="82" t="s">
        <v>920</v>
      </c>
      <c r="C18" s="76" t="s">
        <v>940</v>
      </c>
      <c r="D18" s="74" t="s">
        <v>941</v>
      </c>
      <c r="E18" s="83" t="s">
        <v>923</v>
      </c>
      <c r="F18" s="84" t="s">
        <v>150</v>
      </c>
      <c r="G18" s="76"/>
    </row>
    <row r="19" spans="1:7" ht="50.1" customHeight="1" x14ac:dyDescent="0.25">
      <c r="A19" s="49" t="s">
        <v>942</v>
      </c>
      <c r="B19" s="85" t="s">
        <v>925</v>
      </c>
      <c r="C19" s="50" t="s">
        <v>926</v>
      </c>
      <c r="D19" s="4" t="s">
        <v>943</v>
      </c>
      <c r="E19" s="5" t="s">
        <v>923</v>
      </c>
      <c r="F19" s="86" t="s">
        <v>150</v>
      </c>
      <c r="G19" s="50"/>
    </row>
    <row r="20" spans="1:7" ht="50.1" customHeight="1" x14ac:dyDescent="0.25">
      <c r="A20" s="49" t="s">
        <v>944</v>
      </c>
      <c r="B20" s="85" t="s">
        <v>920</v>
      </c>
      <c r="C20" s="50" t="s">
        <v>945</v>
      </c>
      <c r="D20" s="4" t="s">
        <v>946</v>
      </c>
      <c r="E20" s="5" t="s">
        <v>923</v>
      </c>
      <c r="F20" s="86" t="s">
        <v>150</v>
      </c>
      <c r="G20" s="50"/>
    </row>
    <row r="21" spans="1:7" ht="50.1" customHeight="1" x14ac:dyDescent="0.25">
      <c r="A21" s="49" t="s">
        <v>947</v>
      </c>
      <c r="B21" s="85" t="s">
        <v>948</v>
      </c>
      <c r="C21" s="50" t="s">
        <v>949</v>
      </c>
      <c r="D21" s="4" t="s">
        <v>950</v>
      </c>
      <c r="E21" s="5" t="s">
        <v>923</v>
      </c>
      <c r="F21" s="86" t="s">
        <v>150</v>
      </c>
      <c r="G21" s="50"/>
    </row>
    <row r="22" spans="1:7" ht="50.1" customHeight="1" x14ac:dyDescent="0.25">
      <c r="A22" s="57" t="s">
        <v>951</v>
      </c>
      <c r="B22" s="87" t="s">
        <v>925</v>
      </c>
      <c r="C22" s="19" t="s">
        <v>926</v>
      </c>
      <c r="D22" s="9" t="s">
        <v>952</v>
      </c>
      <c r="E22" s="10" t="s">
        <v>923</v>
      </c>
      <c r="F22" s="88" t="s">
        <v>150</v>
      </c>
      <c r="G22" s="19"/>
    </row>
    <row r="23" spans="1:7" ht="50.1" customHeight="1" x14ac:dyDescent="0.25">
      <c r="A23" s="57" t="s">
        <v>953</v>
      </c>
      <c r="B23" s="87" t="s">
        <v>920</v>
      </c>
      <c r="C23" s="19" t="s">
        <v>954</v>
      </c>
      <c r="D23" s="9" t="s">
        <v>955</v>
      </c>
      <c r="E23" s="10" t="s">
        <v>923</v>
      </c>
      <c r="F23" s="88" t="s">
        <v>150</v>
      </c>
      <c r="G23" s="19"/>
    </row>
    <row r="24" spans="1:7" ht="50.1" customHeight="1" x14ac:dyDescent="0.25">
      <c r="A24" s="57" t="s">
        <v>956</v>
      </c>
      <c r="B24" s="87" t="s">
        <v>948</v>
      </c>
      <c r="C24" s="19" t="s">
        <v>957</v>
      </c>
      <c r="D24" s="9" t="s">
        <v>958</v>
      </c>
      <c r="E24" s="10" t="s">
        <v>923</v>
      </c>
      <c r="F24" s="88" t="s">
        <v>150</v>
      </c>
      <c r="G24" s="19"/>
    </row>
    <row r="25" spans="1:7" ht="50.1" customHeight="1" x14ac:dyDescent="0.25">
      <c r="A25" s="89" t="s">
        <v>959</v>
      </c>
      <c r="B25" s="90" t="s">
        <v>920</v>
      </c>
      <c r="C25" s="91" t="s">
        <v>960</v>
      </c>
      <c r="D25" s="92" t="s">
        <v>961</v>
      </c>
      <c r="E25" s="93" t="s">
        <v>923</v>
      </c>
      <c r="F25" s="94" t="s">
        <v>150</v>
      </c>
      <c r="G25" s="91"/>
    </row>
    <row r="26" spans="1:7" ht="50.1" customHeight="1" x14ac:dyDescent="0.25">
      <c r="A26" s="89" t="s">
        <v>962</v>
      </c>
      <c r="B26" s="90" t="s">
        <v>963</v>
      </c>
      <c r="C26" s="91" t="s">
        <v>964</v>
      </c>
      <c r="D26" s="92" t="s">
        <v>965</v>
      </c>
      <c r="E26" s="93" t="s">
        <v>923</v>
      </c>
      <c r="F26" s="94" t="s">
        <v>150</v>
      </c>
      <c r="G26" s="91"/>
    </row>
  </sheetData>
  <mergeCells count="4">
    <mergeCell ref="A11:G11"/>
    <mergeCell ref="A3:G3"/>
    <mergeCell ref="A2:G2"/>
    <mergeCell ref="A1:G1"/>
  </mergeCells>
  <dataValidations count="1">
    <dataValidation type="list" allowBlank="1" sqref="F13:F200" xr:uid="{00000000-0002-0000-0B00-000000000000}">
      <formula1>"⏳ TODO,🔄 IN PROGRESS,✅ DONE,⏭ SKIP"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E2F1A"/>
  </sheetPr>
  <dimension ref="A1:E42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2" customWidth="1"/>
    <col min="2" max="5" width="22" customWidth="1"/>
  </cols>
  <sheetData>
    <row r="1" spans="1:5" ht="33.950000000000003" customHeight="1" x14ac:dyDescent="0.25">
      <c r="A1" s="125" t="s">
        <v>966</v>
      </c>
      <c r="B1" s="122"/>
      <c r="C1" s="122"/>
      <c r="D1" s="122"/>
      <c r="E1" s="122"/>
    </row>
    <row r="2" spans="1:5" ht="15.95" customHeight="1" x14ac:dyDescent="0.25">
      <c r="A2" s="123" t="s">
        <v>967</v>
      </c>
      <c r="B2" s="122"/>
      <c r="C2" s="122"/>
      <c r="D2" s="122"/>
      <c r="E2" s="122"/>
    </row>
    <row r="3" spans="1:5" ht="21.95" customHeight="1" x14ac:dyDescent="0.25">
      <c r="A3" s="124" t="s">
        <v>968</v>
      </c>
      <c r="B3" s="122"/>
      <c r="C3" s="122"/>
      <c r="D3" s="122"/>
      <c r="E3" s="122"/>
    </row>
    <row r="4" spans="1:5" ht="26.1" customHeight="1" x14ac:dyDescent="0.25">
      <c r="A4" s="1" t="s">
        <v>969</v>
      </c>
      <c r="B4" s="1" t="s">
        <v>970</v>
      </c>
      <c r="C4" s="1" t="s">
        <v>971</v>
      </c>
      <c r="D4" s="1" t="s">
        <v>972</v>
      </c>
      <c r="E4" s="1" t="s">
        <v>973</v>
      </c>
    </row>
    <row r="5" spans="1:5" ht="21.95" customHeight="1" x14ac:dyDescent="0.25">
      <c r="A5" s="18" t="s">
        <v>974</v>
      </c>
      <c r="B5" s="17" t="s">
        <v>975</v>
      </c>
      <c r="C5" s="19" t="s">
        <v>976</v>
      </c>
      <c r="D5" s="95" t="s">
        <v>977</v>
      </c>
      <c r="E5" s="9" t="s">
        <v>978</v>
      </c>
    </row>
    <row r="6" spans="1:5" ht="21.95" customHeight="1" x14ac:dyDescent="0.25">
      <c r="A6" s="18" t="s">
        <v>979</v>
      </c>
      <c r="B6" s="17" t="s">
        <v>980</v>
      </c>
      <c r="C6" s="19" t="s">
        <v>976</v>
      </c>
      <c r="D6" s="95" t="s">
        <v>977</v>
      </c>
      <c r="E6" s="9" t="s">
        <v>978</v>
      </c>
    </row>
    <row r="7" spans="1:5" ht="21.95" customHeight="1" x14ac:dyDescent="0.25">
      <c r="A7" s="18" t="s">
        <v>981</v>
      </c>
      <c r="B7" s="17" t="s">
        <v>982</v>
      </c>
      <c r="C7" s="19" t="s">
        <v>983</v>
      </c>
      <c r="D7" s="95" t="s">
        <v>984</v>
      </c>
      <c r="E7" s="9" t="s">
        <v>985</v>
      </c>
    </row>
    <row r="8" spans="1:5" ht="21.95" customHeight="1" x14ac:dyDescent="0.25">
      <c r="A8" s="18" t="s">
        <v>986</v>
      </c>
      <c r="B8" s="17" t="s">
        <v>982</v>
      </c>
      <c r="C8" s="19" t="s">
        <v>987</v>
      </c>
      <c r="D8" s="95" t="s">
        <v>988</v>
      </c>
      <c r="E8" s="9" t="s">
        <v>989</v>
      </c>
    </row>
    <row r="10" spans="1:5" ht="21.95" customHeight="1" x14ac:dyDescent="0.25">
      <c r="A10" s="124" t="s">
        <v>990</v>
      </c>
      <c r="B10" s="122"/>
      <c r="C10" s="122"/>
      <c r="D10" s="122"/>
      <c r="E10" s="122"/>
    </row>
    <row r="11" spans="1:5" ht="26.1" customHeight="1" x14ac:dyDescent="0.25">
      <c r="A11" s="1" t="s">
        <v>991</v>
      </c>
      <c r="B11" s="1" t="s">
        <v>992</v>
      </c>
      <c r="C11" s="1" t="s">
        <v>993</v>
      </c>
      <c r="D11" s="1" t="s">
        <v>994</v>
      </c>
      <c r="E11" s="1" t="s">
        <v>108</v>
      </c>
    </row>
    <row r="12" spans="1:5" ht="27.95" customHeight="1" x14ac:dyDescent="0.25">
      <c r="A12" s="96" t="s">
        <v>995</v>
      </c>
      <c r="B12" s="97" t="s">
        <v>996</v>
      </c>
      <c r="C12" s="97" t="s">
        <v>997</v>
      </c>
      <c r="D12" s="98" t="s">
        <v>998</v>
      </c>
      <c r="E12" s="99" t="s">
        <v>999</v>
      </c>
    </row>
    <row r="13" spans="1:5" ht="27.95" customHeight="1" x14ac:dyDescent="0.25">
      <c r="A13" s="18" t="s">
        <v>1000</v>
      </c>
      <c r="B13" s="21" t="s">
        <v>1001</v>
      </c>
      <c r="C13" s="21" t="s">
        <v>1002</v>
      </c>
      <c r="D13" s="95" t="s">
        <v>1003</v>
      </c>
      <c r="E13" s="100" t="s">
        <v>1004</v>
      </c>
    </row>
    <row r="14" spans="1:5" ht="27.95" customHeight="1" x14ac:dyDescent="0.25">
      <c r="A14" s="96" t="s">
        <v>1005</v>
      </c>
      <c r="B14" s="97" t="s">
        <v>996</v>
      </c>
      <c r="C14" s="97" t="s">
        <v>997</v>
      </c>
      <c r="D14" s="98" t="s">
        <v>1006</v>
      </c>
      <c r="E14" s="99" t="s">
        <v>1007</v>
      </c>
    </row>
    <row r="15" spans="1:5" ht="27.95" customHeight="1" x14ac:dyDescent="0.25">
      <c r="A15" s="24" t="s">
        <v>1008</v>
      </c>
      <c r="B15" s="101" t="s">
        <v>1009</v>
      </c>
      <c r="C15" s="101" t="s">
        <v>1010</v>
      </c>
      <c r="D15" s="68" t="s">
        <v>1011</v>
      </c>
      <c r="E15" s="102" t="s">
        <v>1012</v>
      </c>
    </row>
    <row r="16" spans="1:5" ht="27.95" customHeight="1" x14ac:dyDescent="0.25">
      <c r="A16" s="24" t="s">
        <v>1013</v>
      </c>
      <c r="B16" s="101" t="s">
        <v>15</v>
      </c>
      <c r="C16" s="101" t="s">
        <v>1014</v>
      </c>
      <c r="D16" s="68" t="s">
        <v>1015</v>
      </c>
      <c r="E16" s="102" t="s">
        <v>1012</v>
      </c>
    </row>
    <row r="17" spans="1:5" ht="27.95" customHeight="1" x14ac:dyDescent="0.25">
      <c r="A17" s="24" t="s">
        <v>1016</v>
      </c>
      <c r="B17" s="101" t="s">
        <v>1017</v>
      </c>
      <c r="C17" s="101" t="s">
        <v>1018</v>
      </c>
      <c r="D17" s="68" t="s">
        <v>1019</v>
      </c>
      <c r="E17" s="102" t="s">
        <v>1020</v>
      </c>
    </row>
    <row r="19" spans="1:5" ht="21.95" customHeight="1" x14ac:dyDescent="0.25">
      <c r="A19" s="124" t="s">
        <v>1021</v>
      </c>
      <c r="B19" s="122"/>
      <c r="C19" s="122"/>
      <c r="D19" s="122"/>
      <c r="E19" s="122"/>
    </row>
    <row r="20" spans="1:5" ht="26.1" customHeight="1" x14ac:dyDescent="0.25">
      <c r="A20" s="1" t="s">
        <v>1022</v>
      </c>
      <c r="B20" s="1" t="s">
        <v>1023</v>
      </c>
      <c r="C20" s="1" t="s">
        <v>1024</v>
      </c>
      <c r="D20" s="1" t="s">
        <v>1025</v>
      </c>
      <c r="E20" s="1" t="s">
        <v>1026</v>
      </c>
    </row>
    <row r="21" spans="1:5" ht="36" customHeight="1" x14ac:dyDescent="0.25">
      <c r="A21" s="96" t="s">
        <v>1027</v>
      </c>
      <c r="B21" s="103" t="s">
        <v>1028</v>
      </c>
      <c r="C21" s="104" t="s">
        <v>1029</v>
      </c>
      <c r="D21" s="97" t="s">
        <v>1030</v>
      </c>
      <c r="E21" s="105" t="s">
        <v>1031</v>
      </c>
    </row>
    <row r="22" spans="1:5" ht="36" customHeight="1" x14ac:dyDescent="0.25">
      <c r="A22" s="96" t="s">
        <v>1032</v>
      </c>
      <c r="B22" s="103" t="s">
        <v>1033</v>
      </c>
      <c r="C22" s="104" t="s">
        <v>1034</v>
      </c>
      <c r="D22" s="97" t="s">
        <v>1035</v>
      </c>
      <c r="E22" s="105" t="s">
        <v>1036</v>
      </c>
    </row>
    <row r="23" spans="1:5" ht="36" customHeight="1" x14ac:dyDescent="0.25">
      <c r="A23" s="18" t="s">
        <v>1037</v>
      </c>
      <c r="B23" s="20" t="s">
        <v>1038</v>
      </c>
      <c r="C23" s="19" t="s">
        <v>1039</v>
      </c>
      <c r="D23" s="106" t="s">
        <v>1040</v>
      </c>
      <c r="E23" s="107" t="s">
        <v>1041</v>
      </c>
    </row>
    <row r="24" spans="1:5" ht="36" customHeight="1" x14ac:dyDescent="0.25">
      <c r="A24" s="108" t="s">
        <v>1042</v>
      </c>
      <c r="B24" s="109" t="s">
        <v>1043</v>
      </c>
      <c r="C24" s="50" t="s">
        <v>1044</v>
      </c>
      <c r="D24" s="6" t="s">
        <v>1045</v>
      </c>
      <c r="E24" s="110" t="s">
        <v>1046</v>
      </c>
    </row>
    <row r="25" spans="1:5" ht="36" customHeight="1" x14ac:dyDescent="0.25">
      <c r="A25" s="108" t="s">
        <v>1047</v>
      </c>
      <c r="B25" s="109" t="s">
        <v>1015</v>
      </c>
      <c r="C25" s="50" t="s">
        <v>1015</v>
      </c>
      <c r="D25" s="6" t="s">
        <v>1048</v>
      </c>
      <c r="E25" s="110" t="s">
        <v>1049</v>
      </c>
    </row>
    <row r="27" spans="1:5" ht="21.95" customHeight="1" x14ac:dyDescent="0.25">
      <c r="A27" s="124" t="s">
        <v>1050</v>
      </c>
      <c r="B27" s="122"/>
      <c r="C27" s="122"/>
      <c r="D27" s="122"/>
      <c r="E27" s="122"/>
    </row>
    <row r="28" spans="1:5" ht="26.1" customHeight="1" x14ac:dyDescent="0.25">
      <c r="A28" s="1" t="s">
        <v>1051</v>
      </c>
      <c r="B28" s="1" t="s">
        <v>1052</v>
      </c>
      <c r="C28" s="1" t="s">
        <v>973</v>
      </c>
      <c r="D28" s="1" t="s">
        <v>972</v>
      </c>
      <c r="E28" s="1"/>
    </row>
    <row r="29" spans="1:5" ht="21.95" customHeight="1" x14ac:dyDescent="0.25">
      <c r="A29" s="71" t="s">
        <v>1053</v>
      </c>
      <c r="B29" s="12" t="s">
        <v>1054</v>
      </c>
      <c r="C29" s="68" t="s">
        <v>1055</v>
      </c>
      <c r="D29" s="68" t="s">
        <v>1056</v>
      </c>
      <c r="E29" s="71"/>
    </row>
    <row r="30" spans="1:5" ht="21.95" customHeight="1" x14ac:dyDescent="0.25">
      <c r="A30" s="71" t="s">
        <v>1057</v>
      </c>
      <c r="B30" s="12" t="s">
        <v>1058</v>
      </c>
      <c r="C30" s="68" t="s">
        <v>1059</v>
      </c>
      <c r="D30" s="68" t="s">
        <v>1060</v>
      </c>
      <c r="E30" s="71"/>
    </row>
    <row r="31" spans="1:5" ht="21.95" customHeight="1" x14ac:dyDescent="0.25">
      <c r="A31" s="71" t="s">
        <v>1061</v>
      </c>
      <c r="B31" s="12" t="s">
        <v>1062</v>
      </c>
      <c r="C31" s="68" t="s">
        <v>1063</v>
      </c>
      <c r="D31" s="68" t="s">
        <v>1064</v>
      </c>
      <c r="E31" s="71"/>
    </row>
    <row r="32" spans="1:5" ht="21.95" customHeight="1" x14ac:dyDescent="0.25">
      <c r="A32" s="71" t="s">
        <v>1065</v>
      </c>
      <c r="B32" s="12" t="s">
        <v>1066</v>
      </c>
      <c r="C32" s="68" t="s">
        <v>1067</v>
      </c>
      <c r="D32" s="68" t="s">
        <v>1068</v>
      </c>
      <c r="E32" s="71"/>
    </row>
    <row r="33" spans="1:5" ht="21.95" customHeight="1" x14ac:dyDescent="0.25">
      <c r="A33" s="71" t="s">
        <v>1069</v>
      </c>
      <c r="B33" s="12" t="s">
        <v>1070</v>
      </c>
      <c r="C33" s="68" t="s">
        <v>1071</v>
      </c>
      <c r="D33" s="68"/>
      <c r="E33" s="71"/>
    </row>
    <row r="34" spans="1:5" ht="21.95" customHeight="1" x14ac:dyDescent="0.25">
      <c r="A34" s="111" t="e">
        <f>MARŻA ADRIDE / POJAZD / MIES.</f>
        <v>#NAME?</v>
      </c>
      <c r="B34" s="6" t="s">
        <v>1072</v>
      </c>
      <c r="C34" s="112" t="s">
        <v>1073</v>
      </c>
      <c r="D34" s="112" t="s">
        <v>1074</v>
      </c>
      <c r="E34" s="113"/>
    </row>
    <row r="35" spans="1:5" ht="21.95" customHeight="1" x14ac:dyDescent="0.25">
      <c r="A35" s="114" t="s">
        <v>1075</v>
      </c>
      <c r="B35" s="115" t="s">
        <v>1076</v>
      </c>
      <c r="C35" s="98" t="s">
        <v>1077</v>
      </c>
      <c r="D35" s="98" t="s">
        <v>1078</v>
      </c>
      <c r="E35" s="114"/>
    </row>
    <row r="37" spans="1:5" ht="21.95" customHeight="1" x14ac:dyDescent="0.25">
      <c r="A37" s="124" t="s">
        <v>1079</v>
      </c>
      <c r="B37" s="122"/>
      <c r="C37" s="122"/>
      <c r="D37" s="122"/>
      <c r="E37" s="122"/>
    </row>
    <row r="38" spans="1:5" ht="26.1" customHeight="1" x14ac:dyDescent="0.25">
      <c r="A38" s="1" t="s">
        <v>1080</v>
      </c>
      <c r="B38" s="1" t="s">
        <v>1081</v>
      </c>
      <c r="C38" s="1" t="s">
        <v>1082</v>
      </c>
      <c r="D38" s="1" t="s">
        <v>1083</v>
      </c>
      <c r="E38" s="1" t="s">
        <v>973</v>
      </c>
    </row>
    <row r="39" spans="1:5" ht="26.1" customHeight="1" x14ac:dyDescent="0.25">
      <c r="A39" s="73" t="s">
        <v>1084</v>
      </c>
      <c r="B39" s="116" t="s">
        <v>1085</v>
      </c>
      <c r="C39" s="117" t="s">
        <v>1086</v>
      </c>
      <c r="D39" s="83" t="s">
        <v>1087</v>
      </c>
      <c r="E39" s="74" t="s">
        <v>1088</v>
      </c>
    </row>
    <row r="40" spans="1:5" ht="26.1" customHeight="1" x14ac:dyDescent="0.25">
      <c r="A40" s="77" t="s">
        <v>1089</v>
      </c>
      <c r="B40" s="118" t="s">
        <v>1090</v>
      </c>
      <c r="C40" s="119" t="s">
        <v>1091</v>
      </c>
      <c r="D40" s="120" t="s">
        <v>1092</v>
      </c>
      <c r="E40" s="78"/>
    </row>
    <row r="41" spans="1:5" ht="26.1" customHeight="1" x14ac:dyDescent="0.25">
      <c r="A41" s="73" t="s">
        <v>1093</v>
      </c>
      <c r="B41" s="116" t="s">
        <v>1094</v>
      </c>
      <c r="C41" s="117" t="s">
        <v>1095</v>
      </c>
      <c r="D41" s="83" t="s">
        <v>1096</v>
      </c>
      <c r="E41" s="74"/>
    </row>
    <row r="42" spans="1:5" ht="26.1" customHeight="1" x14ac:dyDescent="0.25">
      <c r="A42" s="77" t="s">
        <v>1097</v>
      </c>
      <c r="B42" s="118" t="s">
        <v>1098</v>
      </c>
      <c r="C42" s="119" t="s">
        <v>1099</v>
      </c>
      <c r="D42" s="120" t="s">
        <v>1100</v>
      </c>
      <c r="E42" s="78" t="s">
        <v>1101</v>
      </c>
    </row>
  </sheetData>
  <mergeCells count="7">
    <mergeCell ref="A2:E2"/>
    <mergeCell ref="A10:E10"/>
    <mergeCell ref="A19:E19"/>
    <mergeCell ref="A1:E1"/>
    <mergeCell ref="A37:E37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🗺️ MAPA PLIKU</vt:lpstr>
      <vt:lpstr>📊 DASHBOARD</vt:lpstr>
      <vt:lpstr>🧭 8 EKSPERTÓW</vt:lpstr>
      <vt:lpstr>🏗️ FAZA 0 — Fundamenty</vt:lpstr>
      <vt:lpstr>⚖️ FAZA 1 — Prawna</vt:lpstr>
      <vt:lpstr>🎯 FAZA 2 — Akwizycja</vt:lpstr>
      <vt:lpstr>🚗 FAZA 3 — Pilotaż 10 aut</vt:lpstr>
      <vt:lpstr>📱 FAZA 4 — Platforma MVP</vt:lpstr>
      <vt:lpstr>🚀 FAZA 5 — 50 Aut</vt:lpstr>
      <vt:lpstr>💰 FAZA 6 — Break-even 100 aut</vt:lpstr>
      <vt:lpstr>💼 PIPELINE B2B</vt:lpstr>
      <vt:lpstr>📱 CONTENT PLAN</vt:lpstr>
      <vt:lpstr>🧮 UNIT ECONOMICS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Andrzej Salski</cp:lastModifiedBy>
  <dcterms:created xsi:type="dcterms:W3CDTF">2026-05-19T10:28:23Z</dcterms:created>
  <dcterms:modified xsi:type="dcterms:W3CDTF">2026-05-19T14:41:16Z</dcterms:modified>
</cp:coreProperties>
</file>